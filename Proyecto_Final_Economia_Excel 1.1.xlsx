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1c3bf97ca07e20/Documentos/"/>
    </mc:Choice>
  </mc:AlternateContent>
  <xr:revisionPtr revIDLastSave="1" documentId="8_{26E553F1-FF23-4EED-9D8C-2AE66761B8B7}" xr6:coauthVersionLast="47" xr6:coauthVersionMax="47" xr10:uidLastSave="{89C85841-57BF-429C-8FD1-601DBA688BA3}"/>
  <bookViews>
    <workbookView xWindow="-120" yWindow="-120" windowWidth="20730" windowHeight="11040" activeTab="3" xr2:uid="{D707D12E-CD67-4E37-AA91-BA4E0DC542AE}"/>
  </bookViews>
  <sheets>
    <sheet name="Inflacion" sheetId="5" r:id="rId1"/>
    <sheet name="Data_set_Completo" sheetId="6" r:id="rId2"/>
    <sheet name="Calcular " sheetId="1" r:id="rId3"/>
    <sheet name="DashBoard" sheetId="7" r:id="rId4"/>
  </sheets>
  <definedNames>
    <definedName name="_xlnm.Print_Area" localSheetId="3">DashBoard!$A$2:$AK$88</definedName>
    <definedName name="DatosExternos_1" localSheetId="1" hidden="1">Data_set_Completo!$A$1:$G$22</definedName>
    <definedName name="DatosExternos_1" localSheetId="0" hidden="1">Inflacion!$A$1:$B$28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9" i="1" l="1"/>
  <c r="J13" i="1"/>
  <c r="J11" i="1"/>
  <c r="C14" i="5"/>
  <c r="C15" i="5"/>
  <c r="C16" i="5"/>
  <c r="C17" i="5"/>
  <c r="E11" i="6" s="1"/>
  <c r="C18" i="5"/>
  <c r="E12" i="6" s="1"/>
  <c r="C19" i="5"/>
  <c r="E13" i="6" s="1"/>
  <c r="C20" i="5"/>
  <c r="E14" i="6" s="1"/>
  <c r="C21" i="5"/>
  <c r="E15" i="6" s="1"/>
  <c r="C22" i="5"/>
  <c r="C23" i="5"/>
  <c r="C24" i="5"/>
  <c r="C25" i="5"/>
  <c r="E19" i="6" s="1"/>
  <c r="C26" i="5"/>
  <c r="E20" i="6" s="1"/>
  <c r="C27" i="5"/>
  <c r="E21" i="6" s="1"/>
  <c r="C28" i="5"/>
  <c r="E22" i="6" s="1"/>
  <c r="C13" i="5"/>
  <c r="C9" i="5"/>
  <c r="E3" i="6" s="1"/>
  <c r="E2" i="6"/>
  <c r="E4" i="6"/>
  <c r="E5" i="6"/>
  <c r="E6" i="6"/>
  <c r="E7" i="6"/>
  <c r="E8" i="6"/>
  <c r="E9" i="6"/>
  <c r="E10" i="6"/>
  <c r="E16" i="6"/>
  <c r="E17" i="6"/>
  <c r="E18" i="6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C2" i="5"/>
  <c r="C3" i="5"/>
  <c r="C4" i="5"/>
  <c r="C5" i="5"/>
  <c r="C6" i="5"/>
  <c r="C7" i="5"/>
  <c r="C8" i="5"/>
  <c r="C10" i="5"/>
  <c r="C11" i="5"/>
  <c r="C12" i="5"/>
  <c r="G22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3" i="6"/>
  <c r="G4" i="6"/>
  <c r="G5" i="6"/>
  <c r="G6" i="6"/>
  <c r="G7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D6D47A-5A01-45E6-8A44-5D69552AAD6C}" keepAlive="1" name="Consulta - Cuadro 1" description="Conexión a la consulta 'Cuadro 1' en el libro." type="5" refreshedVersion="8" background="1" saveData="1">
    <dbPr connection="Provider=Microsoft.Mashup.OleDb.1;Data Source=$Workbook$;Location=&quot;Cuadro 1&quot;;Extended Properties=&quot;&quot;" command="SELECT * FROM [Cuadro 1]"/>
  </connection>
  <connection id="2" xr16:uid="{6257A0B4-1E37-453D-BD8C-2D250AD234A0}" keepAlive="1" name="Consulta - Series de datos" description="Conexión a la consulta 'Series de datos' en el libro." type="5" refreshedVersion="0" background="1">
    <dbPr connection="Provider=Microsoft.Mashup.OleDb.1;Data Source=$Workbook$;Location=&quot;Series de datos&quot;;Extended Properties=&quot;&quot;" command="SELECT * FROM [Series de datos]"/>
  </connection>
  <connection id="3" xr16:uid="{3544223A-2AB2-4993-9E56-D74C4C4767D7}" keepAlive="1" name="Consulta - Series de datos (2)" description="Conexión a la consulta 'Series de datos (2)' en el libro." type="5" refreshedVersion="0" background="1">
    <dbPr connection="Provider=Microsoft.Mashup.OleDb.1;Data Source=$Workbook$;Location=&quot;Series de datos (2)&quot;;Extended Properties=&quot;&quot;" command="SELECT * FROM [Series de datos (2)]"/>
  </connection>
  <connection id="4" xr16:uid="{EC0BAE65-F3B3-4750-8467-055A7F3143B2}" keepAlive="1" name="Consulta - Series de datos (3)" description="Conexión a la consulta 'Series de datos (3)' en el libro." type="5" refreshedVersion="0" background="1">
    <dbPr connection="Provider=Microsoft.Mashup.OleDb.1;Data Source=$Workbook$;Location=&quot;Series de datos (3)&quot;;Extended Properties=&quot;&quot;" command="SELECT * FROM [Series de datos (3)]"/>
  </connection>
  <connection id="5" xr16:uid="{BA349863-FA93-4E69-9DA2-95BB097A248F}" keepAlive="1" name="Consulta - Series de datos (4)" description="Conexión a la consulta 'Series de datos (4)' en el libro." type="5" refreshedVersion="8" background="1" saveData="1">
    <dbPr connection="Provider=Microsoft.Mashup.OleDb.1;Data Source=$Workbook$;Location=&quot;Series de datos (4)&quot;;Extended Properties=&quot;&quot;" command="SELECT * FROM [Series de datos (4)]"/>
  </connection>
</connections>
</file>

<file path=xl/sharedStrings.xml><?xml version="1.0" encoding="utf-8"?>
<sst xmlns="http://schemas.openxmlformats.org/spreadsheetml/2006/main" count="65" uniqueCount="23">
  <si>
    <t>Fecha</t>
  </si>
  <si>
    <t>IPC sin alimentos</t>
  </si>
  <si>
    <t>Inflacion %</t>
  </si>
  <si>
    <t>Clasificación Cuentas Nacionales</t>
  </si>
  <si>
    <t>Concepto</t>
  </si>
  <si>
    <t>B.1b</t>
  </si>
  <si>
    <t>Producto Interno Bruto</t>
  </si>
  <si>
    <t>Inflacion Subyacente</t>
  </si>
  <si>
    <t>inflacion</t>
  </si>
  <si>
    <t>PIB</t>
  </si>
  <si>
    <t>Año</t>
  </si>
  <si>
    <t xml:space="preserve">Hoja de calculo </t>
  </si>
  <si>
    <t>Tasa de variacion Del PIB</t>
  </si>
  <si>
    <t xml:space="preserve">PIB </t>
  </si>
  <si>
    <t xml:space="preserve">Inflacion Subyacente </t>
  </si>
  <si>
    <t xml:space="preserve">Tasa de variacion Del PIB </t>
  </si>
  <si>
    <t xml:space="preserve"> Tasa de variacion Del PIB</t>
  </si>
  <si>
    <t xml:space="preserve">Inflacion Subyacente  </t>
  </si>
  <si>
    <t>Años</t>
  </si>
  <si>
    <t>Variacion PIB 2021 Vs 2019</t>
  </si>
  <si>
    <t>El coste Del Rebote</t>
  </si>
  <si>
    <t xml:space="preserve">2021 El Año Rebote </t>
  </si>
  <si>
    <t>Tasa de variacion Del PIB  2010 - 2024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</si>
</sst>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48"/>
      <color theme="1" tint="0.14999847407452621"/>
      <name val="Bahnschrift SemiCondensed"/>
      <family val="2"/>
    </font>
    <font>
      <b/>
      <sz val="9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6416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2" fillId="2" borderId="0" xfId="0" applyFont="1" applyFill="1"/>
    <xf numFmtId="0" fontId="0" fillId="3" borderId="0" xfId="0" applyFill="1"/>
    <xf numFmtId="1" fontId="0" fillId="0" borderId="0" xfId="0" applyNumberFormat="1" applyAlignment="1">
      <alignment horizontal="left" vertical="top"/>
    </xf>
    <xf numFmtId="3" fontId="3" fillId="4" borderId="1" xfId="1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left" vertical="top"/>
    </xf>
    <xf numFmtId="0" fontId="0" fillId="5" borderId="0" xfId="0" applyFill="1"/>
  </cellXfs>
  <cellStyles count="2">
    <cellStyle name="Millares" xfId="1" builtinId="3"/>
    <cellStyle name="Normal" xfId="0" builtinId="0"/>
  </cellStyles>
  <dxfs count="5">
    <dxf>
      <numFmt numFmtId="14" formatCode="0.00%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3" formatCode="#,##0"/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numFmt numFmtId="14" formatCode="0.00%"/>
    </dxf>
    <dxf>
      <numFmt numFmtId="19" formatCode="m/d/yyyy"/>
    </dxf>
  </dxfs>
  <tableStyles count="0" defaultTableStyle="TableStyleMedium2" defaultPivotStyle="PivotStyleLight16"/>
  <colors>
    <mruColors>
      <color rgb="FF003A03"/>
      <color rgb="FF464163"/>
      <color rgb="FF0D0943"/>
      <color rgb="FFD06812"/>
      <color rgb="FF120D6D"/>
      <color rgb="FF9F7011"/>
      <color rgb="FF7E0000"/>
      <color rgb="FF480000"/>
      <color rgb="FFDB870B"/>
      <color rgb="FFE416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[Proyecto_Final_Economia_Excel 1.1.xlsx]Calcular !TablaDinámica1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rgbClr val="120D6D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  <a:reflection blurRad="6350" stA="60000" endA="900" endPos="58000" dir="5400000" sy="-100000" algn="bl" rotWithShape="0"/>
                </a:effectLst>
                <a:latin typeface="Calibri Bold" panose="020F0702030404030204" pitchFamily="34" charset="0"/>
                <a:ea typeface="Calibri Bold" panose="020F0702030404030204" pitchFamily="34" charset="0"/>
                <a:cs typeface="Calibri Bold" panose="020F0702030404030204" pitchFamily="34" charset="0"/>
              </a:defRPr>
            </a:pPr>
            <a:r>
              <a:rPr lang="es-CO" sz="2800">
                <a:solidFill>
                  <a:srgbClr val="120D6D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  <a:reflection blurRad="6350" stA="60000" endA="900" endPos="58000" dir="5400000" sy="-100000" algn="bl" rotWithShape="0"/>
                </a:effectLst>
                <a:latin typeface="Calibri Bold" panose="020F0702030404030204" pitchFamily="34" charset="0"/>
                <a:ea typeface="Calibri Bold" panose="020F0702030404030204" pitchFamily="34" charset="0"/>
                <a:cs typeface="Calibri Bold" panose="020F0702030404030204" pitchFamily="34" charset="0"/>
              </a:rPr>
              <a:t>Colombia</a:t>
            </a:r>
            <a:r>
              <a:rPr lang="es-CO" sz="2800" baseline="0">
                <a:solidFill>
                  <a:srgbClr val="120D6D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  <a:reflection blurRad="6350" stA="60000" endA="900" endPos="58000" dir="5400000" sy="-100000" algn="bl" rotWithShape="0"/>
                </a:effectLst>
                <a:latin typeface="Calibri Bold" panose="020F0702030404030204" pitchFamily="34" charset="0"/>
                <a:ea typeface="Calibri Bold" panose="020F0702030404030204" pitchFamily="34" charset="0"/>
                <a:cs typeface="Calibri Bold" panose="020F0702030404030204" pitchFamily="34" charset="0"/>
              </a:rPr>
              <a:t> 2010 - 2024: PIB vs Inflacion Subyacente</a:t>
            </a:r>
            <a:endParaRPr lang="es-CO" sz="2800">
              <a:solidFill>
                <a:srgbClr val="120D6D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60000" endA="900" endPos="58000" dir="5400000" sy="-100000" algn="bl" rotWithShape="0"/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endParaRPr>
          </a:p>
        </c:rich>
      </c:tx>
      <c:layout>
        <c:manualLayout>
          <c:xMode val="edge"/>
          <c:yMode val="edge"/>
          <c:x val="0.37091144986426405"/>
          <c:y val="0.120229533005961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rgbClr val="120D6D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60000" endA="900" endPos="58000" dir="5400000" sy="-100000" algn="bl" rotWithShape="0"/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20D6D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D0943"/>
                  </a:solidFill>
                  <a:latin typeface="Calibri bold" panose="020F0702030404030204" pitchFamily="34" charset="0"/>
                  <a:ea typeface="Calibri bold" panose="020F0702030404030204" pitchFamily="34" charset="0"/>
                  <a:cs typeface="Calibri bold" panose="020F0702030404030204" pitchFamily="34" charset="0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rgbClr val="D06812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D0943"/>
                  </a:solidFill>
                  <a:latin typeface="Calibri bold" panose="020F0702030404030204" pitchFamily="34" charset="0"/>
                  <a:ea typeface="Calibri bold" panose="020F0702030404030204" pitchFamily="34" charset="0"/>
                  <a:cs typeface="Calibri bold" panose="020F0702030404030204" pitchFamily="34" charset="0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57150" cap="rnd">
            <a:solidFill>
              <a:schemeClr val="accent1"/>
            </a:solidFill>
            <a:round/>
            <a:headEnd type="none" w="med" len="med"/>
            <a:tailEnd type="arrow" w="med" len="med"/>
          </a:ln>
          <a:effectLst>
            <a:glow rad="101600">
              <a:schemeClr val="accent2">
                <a:satMod val="175000"/>
                <a:alpha val="40000"/>
              </a:schemeClr>
            </a:glow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D0943"/>
                  </a:solidFill>
                  <a:latin typeface="Calibri bold" panose="020F0702030404030204" pitchFamily="34" charset="0"/>
                  <a:ea typeface="Calibri bold" panose="020F0702030404030204" pitchFamily="34" charset="0"/>
                  <a:cs typeface="Calibri bold" panose="020F0702030404030204" pitchFamily="34" charset="0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  <c:marker>
          <c:spPr>
            <a:solidFill>
              <a:srgbClr val="FF0000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"/>
        <c:spPr>
          <a:gradFill flip="none" rotWithShape="1">
            <a:gsLst>
              <a:gs pos="0">
                <a:srgbClr val="120D6D">
                  <a:shade val="30000"/>
                  <a:satMod val="115000"/>
                </a:srgbClr>
              </a:gs>
              <a:gs pos="50000">
                <a:srgbClr val="120D6D">
                  <a:shade val="67500"/>
                  <a:satMod val="115000"/>
                </a:srgbClr>
              </a:gs>
              <a:gs pos="100000">
                <a:srgbClr val="120D6D">
                  <a:shade val="100000"/>
                  <a:satMod val="115000"/>
                </a:srgbClr>
              </a:gs>
            </a:gsLst>
            <a:lin ang="16200000" scaled="1"/>
            <a:tileRect/>
          </a:gra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D0943"/>
                  </a:solidFill>
                  <a:latin typeface="Calibri bold" panose="020F0702030404030204" pitchFamily="34" charset="0"/>
                  <a:ea typeface="Calibri bold" panose="020F0702030404030204" pitchFamily="34" charset="0"/>
                  <a:cs typeface="Calibri bold" panose="020F0702030404030204" pitchFamily="34" charset="0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flip="none" rotWithShape="1">
            <a:gsLst>
              <a:gs pos="0">
                <a:srgbClr val="C00000">
                  <a:shade val="30000"/>
                  <a:satMod val="115000"/>
                </a:srgbClr>
              </a:gs>
              <a:gs pos="50000">
                <a:srgbClr val="C00000">
                  <a:shade val="67500"/>
                  <a:satMod val="115000"/>
                </a:srgbClr>
              </a:gs>
              <a:gs pos="100000">
                <a:srgbClr val="C00000">
                  <a:shade val="100000"/>
                  <a:satMod val="115000"/>
                </a:srgbClr>
              </a:gs>
            </a:gsLst>
            <a:lin ang="16200000" scaled="1"/>
            <a:tileRect/>
          </a:gra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7.9134149251299246E-2"/>
          <c:y val="9.0271222519540228E-2"/>
          <c:w val="0.90229374590017308"/>
          <c:h val="0.801831881394711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'Calcular '!$C$7</c:f>
              <c:strCache>
                <c:ptCount val="1"/>
                <c:pt idx="0">
                  <c:v>PIB </c:v>
                </c:pt>
              </c:strCache>
            </c:strRef>
          </c:tx>
          <c:spPr>
            <a:gradFill flip="none" rotWithShape="1">
              <a:gsLst>
                <a:gs pos="0">
                  <a:srgbClr val="120D6D">
                    <a:shade val="30000"/>
                    <a:satMod val="115000"/>
                  </a:srgbClr>
                </a:gs>
                <a:gs pos="50000">
                  <a:srgbClr val="120D6D">
                    <a:shade val="67500"/>
                    <a:satMod val="115000"/>
                  </a:srgbClr>
                </a:gs>
                <a:gs pos="100000">
                  <a:srgbClr val="120D6D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10"/>
            <c:invertIfNegative val="0"/>
            <c:bubble3D val="0"/>
            <c:spPr>
              <a:gradFill flip="none" rotWithShape="1">
                <a:gsLst>
                  <a:gs pos="0">
                    <a:srgbClr val="C00000">
                      <a:shade val="30000"/>
                      <a:satMod val="115000"/>
                    </a:srgbClr>
                  </a:gs>
                  <a:gs pos="50000">
                    <a:srgbClr val="C00000">
                      <a:shade val="67500"/>
                      <a:satMod val="115000"/>
                    </a:srgbClr>
                  </a:gs>
                  <a:gs pos="100000">
                    <a:srgbClr val="C0000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AA93-4800-9D98-AA15EEF18BC3}"/>
              </c:ext>
            </c:extLst>
          </c:dPt>
          <c:cat>
            <c:strRef>
              <c:f>'Calcular '!$B$8:$B$22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'Calcular '!$C$8:$C$22</c:f>
              <c:numCache>
                <c:formatCode>"$"#,##0.00</c:formatCode>
                <c:ptCount val="15"/>
                <c:pt idx="0">
                  <c:v>173063.550682998</c:v>
                </c:pt>
                <c:pt idx="1">
                  <c:v>184010.44028239194</c:v>
                </c:pt>
                <c:pt idx="2">
                  <c:v>188971.82480957385</c:v>
                </c:pt>
                <c:pt idx="3">
                  <c:v>200972.78843201874</c:v>
                </c:pt>
                <c:pt idx="4">
                  <c:v>208535.81920333469</c:v>
                </c:pt>
                <c:pt idx="5">
                  <c:v>212831.55285361854</c:v>
                </c:pt>
                <c:pt idx="6">
                  <c:v>217736.68285999072</c:v>
                </c:pt>
                <c:pt idx="7">
                  <c:v>220760.57309340095</c:v>
                </c:pt>
                <c:pt idx="8">
                  <c:v>227192.97591878168</c:v>
                </c:pt>
                <c:pt idx="9">
                  <c:v>234215.68877028709</c:v>
                </c:pt>
                <c:pt idx="10">
                  <c:v>226463.51215166118</c:v>
                </c:pt>
                <c:pt idx="11">
                  <c:v>251558.78909023802</c:v>
                </c:pt>
                <c:pt idx="12">
                  <c:v>257422.09738362732</c:v>
                </c:pt>
                <c:pt idx="13">
                  <c:v>259305.47430679397</c:v>
                </c:pt>
                <c:pt idx="14">
                  <c:v>265414.85272003605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3-4800-9D98-AA15EEF18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76143647"/>
        <c:axId val="1236263487"/>
      </c:barChart>
      <c:lineChart>
        <c:grouping val="standard"/>
        <c:varyColors val="0"/>
        <c:ser>
          <c:idx val="1"/>
          <c:order val="1"/>
          <c:tx>
            <c:strRef>
              <c:f>'Calcular '!$D$7</c:f>
              <c:strCache>
                <c:ptCount val="1"/>
                <c:pt idx="0">
                  <c:v>Inflacion Subyacente 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  <a:headEnd type="none" w="med" len="med"/>
              <a:tailEnd type="arrow" w="med" len="med"/>
            </a:ln>
            <a:effectLst>
              <a:glow rad="101600">
                <a:schemeClr val="accent2">
                  <a:satMod val="175000"/>
                  <a:alpha val="40000"/>
                </a:schemeClr>
              </a:glow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strRef>
              <c:f>'Calcular '!$B$8:$B$22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'Calcular '!$D$8:$D$22</c:f>
              <c:numCache>
                <c:formatCode>0.00%</c:formatCode>
                <c:ptCount val="15"/>
                <c:pt idx="0">
                  <c:v>3.0032127392093821E-2</c:v>
                </c:pt>
                <c:pt idx="1">
                  <c:v>3.3767290480065215E-2</c:v>
                </c:pt>
                <c:pt idx="2">
                  <c:v>2.6761117670208501E-2</c:v>
                </c:pt>
                <c:pt idx="3">
                  <c:v>2.4658234317107564E-2</c:v>
                </c:pt>
                <c:pt idx="4">
                  <c:v>3.2793017456359097E-2</c:v>
                </c:pt>
                <c:pt idx="5">
                  <c:v>5.2517203911626398E-2</c:v>
                </c:pt>
                <c:pt idx="6">
                  <c:v>5.5173204863500747E-2</c:v>
                </c:pt>
                <c:pt idx="7">
                  <c:v>5.0222850309816325E-2</c:v>
                </c:pt>
                <c:pt idx="8">
                  <c:v>3.5089535244798631E-2</c:v>
                </c:pt>
                <c:pt idx="9">
                  <c:v>3.4499999999999975E-2</c:v>
                </c:pt>
                <c:pt idx="10">
                  <c:v>1.0343160947317465E-2</c:v>
                </c:pt>
                <c:pt idx="11">
                  <c:v>3.4443168771526977E-2</c:v>
                </c:pt>
                <c:pt idx="12">
                  <c:v>9.9889012208657091E-2</c:v>
                </c:pt>
                <c:pt idx="13">
                  <c:v>0.1033467877564751</c:v>
                </c:pt>
                <c:pt idx="14">
                  <c:v>5.6474354088865253E-2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A93-4800-9D98-AA15EEF18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6792959"/>
        <c:axId val="1276788639"/>
      </c:lineChart>
      <c:catAx>
        <c:axId val="157614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rgbClr val="0D0943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  <a:reflection blurRad="6350" stA="60000" endA="900" endPos="58000" dir="5400000" sy="-100000" algn="bl" rotWithShape="0"/>
                </a:effectLst>
                <a:latin typeface="Calibri bold" panose="020F0702030404030204" pitchFamily="34" charset="0"/>
                <a:ea typeface="Calibri bold" panose="020F0702030404030204" pitchFamily="34" charset="0"/>
                <a:cs typeface="Calibri bold" panose="020F0702030404030204" pitchFamily="34" charset="0"/>
              </a:defRPr>
            </a:pPr>
            <a:endParaRPr lang="es-CO"/>
          </a:p>
        </c:txPr>
        <c:crossAx val="1236263487"/>
        <c:crosses val="autoZero"/>
        <c:auto val="1"/>
        <c:lblAlgn val="ctr"/>
        <c:lblOffset val="100"/>
        <c:noMultiLvlLbl val="0"/>
      </c:catAx>
      <c:valAx>
        <c:axId val="12362634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D0943"/>
                    </a:solidFill>
                    <a:latin typeface="Calibri bold" panose="020F0702030404030204" pitchFamily="34" charset="0"/>
                    <a:ea typeface="Calibri bold" panose="020F0702030404030204" pitchFamily="34" charset="0"/>
                    <a:cs typeface="Calibri bold" panose="020F0702030404030204" pitchFamily="34" charset="0"/>
                  </a:defRPr>
                </a:pPr>
                <a:r>
                  <a:rPr lang="es-CO" sz="1000"/>
                  <a:t>Valor</a:t>
                </a:r>
                <a:r>
                  <a:rPr lang="es-CO" sz="1000" baseline="0"/>
                  <a:t> PIB</a:t>
                </a:r>
                <a:endParaRPr lang="es-CO" sz="1000"/>
              </a:p>
            </c:rich>
          </c:tx>
          <c:layout>
            <c:manualLayout>
              <c:xMode val="edge"/>
              <c:yMode val="edge"/>
              <c:x val="7.9681413143237734E-3"/>
              <c:y val="0.440371786106950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D0943"/>
                  </a:solidFill>
                  <a:latin typeface="Calibri bold" panose="020F0702030404030204" pitchFamily="34" charset="0"/>
                  <a:ea typeface="Calibri bold" panose="020F0702030404030204" pitchFamily="34" charset="0"/>
                  <a:cs typeface="Calibri bold" panose="020F0702030404030204" pitchFamily="34" charset="0"/>
                </a:defRPr>
              </a:pPr>
              <a:endParaRPr lang="es-CO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D0943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  <a:reflection blurRad="6350" stA="60000" endA="900" endPos="58000" dir="5400000" sy="-100000" algn="bl" rotWithShape="0"/>
                </a:effectLst>
                <a:latin typeface="Calibri bold" panose="020F0702030404030204" pitchFamily="34" charset="0"/>
                <a:ea typeface="Calibri bold" panose="020F0702030404030204" pitchFamily="34" charset="0"/>
                <a:cs typeface="Calibri bold" panose="020F0702030404030204" pitchFamily="34" charset="0"/>
              </a:defRPr>
            </a:pPr>
            <a:endParaRPr lang="es-CO"/>
          </a:p>
        </c:txPr>
        <c:crossAx val="1576143647"/>
        <c:crosses val="autoZero"/>
        <c:crossBetween val="between"/>
      </c:valAx>
      <c:valAx>
        <c:axId val="127678863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D0943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  <a:reflection blurRad="6350" stA="60000" endA="900" endPos="58000" dir="5400000" sy="-100000" algn="bl" rotWithShape="0"/>
                </a:effectLst>
                <a:latin typeface="Calibri bold" panose="020F0702030404030204" pitchFamily="34" charset="0"/>
                <a:ea typeface="Calibri bold" panose="020F0702030404030204" pitchFamily="34" charset="0"/>
                <a:cs typeface="Calibri bold" panose="020F0702030404030204" pitchFamily="34" charset="0"/>
              </a:defRPr>
            </a:pPr>
            <a:endParaRPr lang="es-CO"/>
          </a:p>
        </c:txPr>
        <c:crossAx val="1276792959"/>
        <c:crosses val="max"/>
        <c:crossBetween val="between"/>
      </c:valAx>
      <c:catAx>
        <c:axId val="12767929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767886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137428198797866"/>
          <c:y val="1.0600081420074278E-3"/>
          <c:w val="0.20862571801202129"/>
          <c:h val="0.118581859568744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D0943"/>
              </a:solidFill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0D0943"/>
          </a:solidFill>
          <a:latin typeface="Calibri bold" panose="020F0702030404030204" pitchFamily="34" charset="0"/>
          <a:ea typeface="Calibri bold" panose="020F0702030404030204" pitchFamily="34" charset="0"/>
          <a:cs typeface="Calibri bold" panose="020F070203040403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[Proyecto_Final_Economia_Excel 1.1.xlsx]Calcular !TablaDinámica3</c:name>
    <c:fmtId val="3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0D0943"/>
            </a:solidFill>
            <a:round/>
            <a:headEnd type="none" w="med" len="med"/>
            <a:tailEnd type="arrow" w="med" len="med"/>
          </a:ln>
          <a:effectLst>
            <a:glow rad="101600">
              <a:schemeClr val="accent1">
                <a:satMod val="175000"/>
                <a:alpha val="40000"/>
              </a:schemeClr>
            </a:glow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rgbClr val="003A03"/>
                  </a:solidFill>
                  <a:latin typeface="Calibri bold" panose="020F0702030404030204" pitchFamily="34" charset="0"/>
                  <a:ea typeface="Calibri bold" panose="020F0702030404030204" pitchFamily="34" charset="0"/>
                  <a:cs typeface="Calibri bold" panose="020F0702030404030204" pitchFamily="34" charset="0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8100" cap="rnd">
            <a:solidFill>
              <a:srgbClr val="D06812"/>
            </a:solidFill>
            <a:round/>
            <a:headEnd type="none" w="med" len="med"/>
            <a:tailEnd type="arrow" w="med" len="med"/>
          </a:ln>
          <a:effectLst>
            <a:glow rad="101600">
              <a:schemeClr val="accent2">
                <a:satMod val="175000"/>
                <a:alpha val="40000"/>
              </a:schemeClr>
            </a:glow>
          </a:effectLst>
        </c:spPr>
        <c:marker>
          <c:symbol val="circle"/>
          <c:size val="5"/>
          <c:spPr>
            <a:solidFill>
              <a:schemeClr val="accent1"/>
            </a:solidFill>
            <a:ln w="38100">
              <a:solidFill>
                <a:srgbClr val="D06812"/>
              </a:solidFill>
              <a:headEnd type="none" w="med" len="med"/>
              <a:tailEnd type="arrow" w="med" len="med"/>
            </a:ln>
            <a:effectLst>
              <a:glow rad="101600">
                <a:schemeClr val="accent2">
                  <a:satMod val="175000"/>
                  <a:alpha val="40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rgbClr val="D06812"/>
                  </a:solidFill>
                  <a:latin typeface="Calibri bold" panose="020F0702030404030204" pitchFamily="34" charset="0"/>
                  <a:ea typeface="Calibri bold" panose="020F0702030404030204" pitchFamily="34" charset="0"/>
                  <a:cs typeface="Calibri bold" panose="020F0702030404030204" pitchFamily="34" charset="0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8100" cap="rnd">
            <a:solidFill>
              <a:srgbClr val="D06812"/>
            </a:solidFill>
            <a:round/>
            <a:headEnd type="none" w="med" len="med"/>
            <a:tailEnd type="arrow" w="med" len="med"/>
          </a:ln>
          <a:effectLst>
            <a:glow rad="101600">
              <a:schemeClr val="accent2">
                <a:satMod val="175000"/>
                <a:alpha val="40000"/>
              </a:schemeClr>
            </a:glow>
          </a:effectLst>
        </c:spPr>
        <c:marker>
          <c:symbol val="circle"/>
          <c:size val="5"/>
        </c:marker>
        <c:dLbl>
          <c:idx val="0"/>
          <c:layout>
            <c:manualLayout>
              <c:x val="-1.9333411896773373E-2"/>
              <c:y val="-8.951050265374559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rgbClr val="003A03"/>
                  </a:solidFill>
                  <a:latin typeface="Calibri bold" panose="020F0702030404030204" pitchFamily="34" charset="0"/>
                  <a:ea typeface="Calibri bold" panose="020F0702030404030204" pitchFamily="34" charset="0"/>
                  <a:cs typeface="Calibri bold" panose="020F0702030404030204" pitchFamily="34" charset="0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8100" cap="rnd">
            <a:solidFill>
              <a:srgbClr val="D06812"/>
            </a:solidFill>
            <a:round/>
            <a:headEnd type="none" w="med" len="med"/>
            <a:tailEnd type="arrow" w="med" len="med"/>
          </a:ln>
          <a:effectLst>
            <a:glow rad="101600">
              <a:schemeClr val="accent2">
                <a:satMod val="175000"/>
                <a:alpha val="40000"/>
              </a:schemeClr>
            </a:glow>
          </a:effectLst>
        </c:spPr>
        <c:marker>
          <c:symbol val="circle"/>
          <c:size val="5"/>
        </c:marker>
        <c:dLbl>
          <c:idx val="0"/>
          <c:layout>
            <c:manualLayout>
              <c:x val="-2.0470671420113024E-2"/>
              <c:y val="-8.20512940992668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rgbClr val="D06812"/>
                  </a:solidFill>
                  <a:latin typeface="Calibri bold" panose="020F0702030404030204" pitchFamily="34" charset="0"/>
                  <a:ea typeface="Calibri bold" panose="020F0702030404030204" pitchFamily="34" charset="0"/>
                  <a:cs typeface="Calibri bold" panose="020F0702030404030204" pitchFamily="34" charset="0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8100" cap="rnd">
            <a:solidFill>
              <a:srgbClr val="D06812"/>
            </a:solidFill>
            <a:round/>
            <a:headEnd type="none" w="med" len="med"/>
            <a:tailEnd type="arrow" w="med" len="med"/>
          </a:ln>
          <a:effectLst>
            <a:glow rad="101600">
              <a:schemeClr val="accent2">
                <a:satMod val="175000"/>
                <a:alpha val="40000"/>
              </a:schemeClr>
            </a:glow>
          </a:effectLst>
        </c:spPr>
        <c:marker>
          <c:symbol val="circle"/>
          <c:size val="5"/>
        </c:marker>
        <c:dLbl>
          <c:idx val="0"/>
          <c:layout>
            <c:manualLayout>
              <c:x val="-1.705889285009415E-2"/>
              <c:y val="-8.20512940992668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rgbClr val="D06812"/>
                  </a:solidFill>
                  <a:latin typeface="Calibri bold" panose="020F0702030404030204" pitchFamily="34" charset="0"/>
                  <a:ea typeface="Calibri bold" panose="020F0702030404030204" pitchFamily="34" charset="0"/>
                  <a:cs typeface="Calibri bold" panose="020F0702030404030204" pitchFamily="34" charset="0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8100" cap="rnd">
            <a:solidFill>
              <a:srgbClr val="D06812"/>
            </a:solidFill>
            <a:round/>
            <a:headEnd type="none" w="med" len="med"/>
            <a:tailEnd type="arrow" w="med" len="med"/>
          </a:ln>
          <a:effectLst>
            <a:glow rad="101600">
              <a:schemeClr val="accent2">
                <a:satMod val="175000"/>
                <a:alpha val="40000"/>
              </a:schemeClr>
            </a:glow>
          </a:effectLst>
        </c:spPr>
        <c:marker>
          <c:symbol val="circle"/>
          <c:size val="5"/>
        </c:marker>
        <c:dLbl>
          <c:idx val="0"/>
          <c:layout>
            <c:manualLayout>
              <c:x val="-9.3907141151556191E-3"/>
              <c:y val="-0.1156177325944213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rgbClr val="120D6D"/>
                  </a:solidFill>
                  <a:latin typeface="Calibri bold" panose="020F0702030404030204" pitchFamily="34" charset="0"/>
                  <a:ea typeface="Calibri bold" panose="020F0702030404030204" pitchFamily="34" charset="0"/>
                  <a:cs typeface="Calibri bold" panose="020F0702030404030204" pitchFamily="34" charset="0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-4.1699034144984942E-17"/>
              <c:y val="-5.5944064158590996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-9.0980761867170464E-3"/>
              <c:y val="-0.1939385414075642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41616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rgbClr val="0D0943"/>
            </a:solidFill>
            <a:round/>
            <a:headEnd type="none" w="med" len="med"/>
            <a:tailEnd type="arrow" w="med" len="med"/>
          </a:ln>
          <a:effectLst>
            <a:glow rad="101600">
              <a:schemeClr val="accent1">
                <a:satMod val="175000"/>
                <a:alpha val="40000"/>
              </a:schemeClr>
            </a:glow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layout>
            <c:manualLayout>
              <c:x val="0"/>
              <c:y val="-8.57808983765062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rgbClr val="003A03"/>
                  </a:solidFill>
                  <a:latin typeface="Calibri bold" panose="020F0702030404030204" pitchFamily="34" charset="0"/>
                  <a:ea typeface="Calibri bold" panose="020F0702030404030204" pitchFamily="34" charset="0"/>
                  <a:cs typeface="Calibri bold" panose="020F0702030404030204" pitchFamily="34" charset="0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rgbClr val="0D0943"/>
            </a:solidFill>
            <a:round/>
            <a:headEnd type="none" w="med" len="med"/>
            <a:tailEnd type="arrow" w="med" len="med"/>
          </a:ln>
          <a:effectLst>
            <a:glow rad="101600">
              <a:schemeClr val="accent1">
                <a:satMod val="175000"/>
                <a:alpha val="40000"/>
              </a:schemeClr>
            </a:glow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layout>
            <c:manualLayout>
              <c:x val="1.981891702516534E-3"/>
              <c:y val="-8.20512940992668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rgbClr val="9F7011"/>
                  </a:solidFill>
                  <a:latin typeface="Calibri bold" panose="020F0702030404030204" pitchFamily="34" charset="0"/>
                  <a:ea typeface="Calibri bold" panose="020F0702030404030204" pitchFamily="34" charset="0"/>
                  <a:cs typeface="Calibri bold" panose="020F0702030404030204" pitchFamily="34" charset="0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rgbClr val="0D0943"/>
            </a:solidFill>
            <a:round/>
            <a:headEnd type="none" w="med" len="med"/>
            <a:tailEnd type="arrow" w="med" len="med"/>
          </a:ln>
          <a:effectLst>
            <a:glow rad="101600">
              <a:schemeClr val="accent1">
                <a:satMod val="175000"/>
                <a:alpha val="40000"/>
              </a:schemeClr>
            </a:glow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layout>
            <c:manualLayout>
              <c:x val="-6.7436847467227917E-2"/>
              <c:y val="-9.481711283403818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rgbClr val="FF0000"/>
                  </a:solidFill>
                  <a:latin typeface="Calibri bold" panose="020F0702030404030204" pitchFamily="34" charset="0"/>
                  <a:ea typeface="Calibri bold" panose="020F0702030404030204" pitchFamily="34" charset="0"/>
                  <a:cs typeface="Calibri bold" panose="020F0702030404030204" pitchFamily="34" charset="0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rgbClr val="0D0943"/>
            </a:solidFill>
            <a:round/>
            <a:headEnd type="none" w="med" len="med"/>
            <a:tailEnd type="arrow" w="med" len="med"/>
          </a:ln>
          <a:effectLst>
            <a:glow rad="101600">
              <a:schemeClr val="accent1">
                <a:satMod val="175000"/>
                <a:alpha val="40000"/>
              </a:schemeClr>
            </a:glow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layout>
            <c:manualLayout>
              <c:x val="-2.0327640401936877E-2"/>
              <c:y val="-6.34032727130697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rgbClr val="D06812"/>
                  </a:solidFill>
                  <a:latin typeface="Calibri bold" panose="020F0702030404030204" pitchFamily="34" charset="0"/>
                  <a:ea typeface="Calibri bold" panose="020F0702030404030204" pitchFamily="34" charset="0"/>
                  <a:cs typeface="Calibri bold" panose="020F0702030404030204" pitchFamily="34" charset="0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rgbClr val="0D0943"/>
            </a:solidFill>
            <a:round/>
            <a:headEnd type="none" w="med" len="med"/>
            <a:tailEnd type="arrow" w="med" len="med"/>
          </a:ln>
          <a:effectLst>
            <a:glow rad="101600">
              <a:schemeClr val="accent1">
                <a:satMod val="175000"/>
                <a:alpha val="40000"/>
              </a:schemeClr>
            </a:glow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layout>
            <c:manualLayout>
              <c:x val="-5.9656388596391651E-3"/>
              <c:y val="7.8321689822027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rgbClr val="0D0943"/>
                  </a:solidFill>
                  <a:latin typeface="Calibri bold" panose="020F0702030404030204" pitchFamily="34" charset="0"/>
                  <a:ea typeface="Calibri bold" panose="020F0702030404030204" pitchFamily="34" charset="0"/>
                  <a:cs typeface="Calibri bold" panose="020F0702030404030204" pitchFamily="34" charset="0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38100" cap="rnd">
            <a:solidFill>
              <a:srgbClr val="D06812"/>
            </a:solidFill>
            <a:round/>
            <a:headEnd type="none" w="med" len="med"/>
            <a:tailEnd type="arrow" w="med" len="med"/>
          </a:ln>
          <a:effectLst>
            <a:glow rad="101600">
              <a:schemeClr val="accent2">
                <a:satMod val="175000"/>
                <a:alpha val="40000"/>
              </a:schemeClr>
            </a:glow>
          </a:effectLst>
        </c:spPr>
        <c:marker>
          <c:symbol val="circle"/>
          <c:size val="5"/>
        </c:marker>
        <c:dLbl>
          <c:idx val="0"/>
          <c:layout>
            <c:manualLayout>
              <c:x val="-3.639230474686752E-2"/>
              <c:y val="-7.45920855447879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rgbClr val="FF0000"/>
                  </a:solidFill>
                  <a:latin typeface="Calibri bold" panose="020F0702030404030204" pitchFamily="34" charset="0"/>
                  <a:ea typeface="Calibri bold" panose="020F0702030404030204" pitchFamily="34" charset="0"/>
                  <a:cs typeface="Calibri bold" panose="020F0702030404030204" pitchFamily="34" charset="0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9932618162579067E-2"/>
          <c:y val="0.11852506191289935"/>
          <c:w val="0.90200792988242706"/>
          <c:h val="0.78159789756039832"/>
        </c:manualLayout>
      </c:layout>
      <c:lineChart>
        <c:grouping val="standard"/>
        <c:varyColors val="0"/>
        <c:ser>
          <c:idx val="1"/>
          <c:order val="0"/>
          <c:tx>
            <c:strRef>
              <c:f>'Calcular '!$H$22</c:f>
              <c:strCache>
                <c:ptCount val="1"/>
                <c:pt idx="0">
                  <c:v> Tasa de variacion Del PIB</c:v>
                </c:pt>
              </c:strCache>
            </c:strRef>
          </c:tx>
          <c:spPr>
            <a:ln w="28575" cap="rnd">
              <a:solidFill>
                <a:srgbClr val="0D0943"/>
              </a:solidFill>
              <a:round/>
              <a:headEnd type="none" w="med" len="med"/>
              <a:tailEnd type="arrow" w="med" len="med"/>
            </a:ln>
            <a:effectLst>
              <a:glow rad="101600">
                <a:schemeClr val="accent1">
                  <a:satMod val="175000"/>
                  <a:alpha val="40000"/>
                </a:schemeClr>
              </a:glow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rgbClr val="0D0943"/>
                </a:solidFill>
                <a:round/>
                <a:headEnd type="none" w="med" len="med"/>
                <a:tailEnd type="arrow" w="med" len="med"/>
              </a:ln>
              <a:effectLst>
                <a:glow rad="101600">
                  <a:schemeClr val="accent1">
                    <a:satMod val="175000"/>
                    <a:alpha val="40000"/>
                  </a:schemeClr>
                </a:glow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ABF-41A2-99E2-F7964384CF1D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0D0943"/>
                </a:solidFill>
                <a:round/>
                <a:headEnd type="none" w="med" len="med"/>
                <a:tailEnd type="arrow" w="med" len="med"/>
              </a:ln>
              <a:effectLst>
                <a:glow rad="101600">
                  <a:schemeClr val="accent1">
                    <a:satMod val="175000"/>
                    <a:alpha val="40000"/>
                  </a:schemeClr>
                </a:glow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ABF-41A2-99E2-F7964384CF1D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0D0943"/>
                </a:solidFill>
                <a:round/>
                <a:headEnd type="none" w="med" len="med"/>
                <a:tailEnd type="arrow" w="med" len="med"/>
              </a:ln>
              <a:effectLst>
                <a:glow rad="101600">
                  <a:schemeClr val="accent1">
                    <a:satMod val="175000"/>
                    <a:alpha val="40000"/>
                  </a:schemeClr>
                </a:glow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4ABF-41A2-99E2-F7964384CF1D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rgbClr val="0D0943"/>
                </a:solidFill>
                <a:round/>
                <a:headEnd type="none" w="med" len="med"/>
                <a:tailEnd type="arrow" w="med" len="med"/>
              </a:ln>
              <a:effectLst>
                <a:glow rad="101600">
                  <a:schemeClr val="accent1">
                    <a:satMod val="175000"/>
                    <a:alpha val="40000"/>
                  </a:schemeClr>
                </a:glow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4ABF-41A2-99E2-F7964384CF1D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rgbClr val="0D0943"/>
                </a:solidFill>
                <a:round/>
                <a:headEnd type="none" w="med" len="med"/>
                <a:tailEnd type="arrow" w="med" len="med"/>
              </a:ln>
              <a:effectLst>
                <a:glow rad="101600">
                  <a:schemeClr val="accent1">
                    <a:satMod val="175000"/>
                    <a:alpha val="40000"/>
                  </a:schemeClr>
                </a:glow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4ABF-41A2-99E2-F7964384CF1D}"/>
              </c:ext>
            </c:extLst>
          </c:dPt>
          <c:dLbls>
            <c:dLbl>
              <c:idx val="0"/>
              <c:layout>
                <c:manualLayout>
                  <c:x val="-6.7436847467227917E-2"/>
                  <c:y val="-9.481711283403818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rgbClr val="FF0000"/>
                      </a:solidFill>
                      <a:latin typeface="Calibri bold" panose="020F0702030404030204" pitchFamily="34" charset="0"/>
                      <a:ea typeface="Calibri bold" panose="020F0702030404030204" pitchFamily="34" charset="0"/>
                      <a:cs typeface="Calibri bold" panose="020F0702030404030204" pitchFamily="34" charset="0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ABF-41A2-99E2-F7964384CF1D}"/>
                </c:ext>
              </c:extLst>
            </c:dLbl>
            <c:dLbl>
              <c:idx val="1"/>
              <c:layout>
                <c:manualLayout>
                  <c:x val="0"/>
                  <c:y val="-8.57808983765062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BF-41A2-99E2-F7964384CF1D}"/>
                </c:ext>
              </c:extLst>
            </c:dLbl>
            <c:dLbl>
              <c:idx val="2"/>
              <c:layout>
                <c:manualLayout>
                  <c:x val="1.981891702516534E-3"/>
                  <c:y val="-8.205129409926686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rgbClr val="9F7011"/>
                      </a:solidFill>
                      <a:latin typeface="Calibri bold" panose="020F0702030404030204" pitchFamily="34" charset="0"/>
                      <a:ea typeface="Calibri bold" panose="020F0702030404030204" pitchFamily="34" charset="0"/>
                      <a:cs typeface="Calibri bold" panose="020F0702030404030204" pitchFamily="34" charset="0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ABF-41A2-99E2-F7964384CF1D}"/>
                </c:ext>
              </c:extLst>
            </c:dLbl>
            <c:dLbl>
              <c:idx val="3"/>
              <c:layout>
                <c:manualLayout>
                  <c:x val="-2.0327640401936877E-2"/>
                  <c:y val="-6.340327271306979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rgbClr val="D06812"/>
                      </a:solidFill>
                      <a:latin typeface="Calibri bold" panose="020F0702030404030204" pitchFamily="34" charset="0"/>
                      <a:ea typeface="Calibri bold" panose="020F0702030404030204" pitchFamily="34" charset="0"/>
                      <a:cs typeface="Calibri bold" panose="020F0702030404030204" pitchFamily="34" charset="0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ABF-41A2-99E2-F7964384CF1D}"/>
                </c:ext>
              </c:extLst>
            </c:dLbl>
            <c:dLbl>
              <c:idx val="4"/>
              <c:layout>
                <c:manualLayout>
                  <c:x val="-5.9656388596391651E-3"/>
                  <c:y val="7.83216898220273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rgbClr val="0D0943"/>
                      </a:solidFill>
                      <a:latin typeface="Calibri bold" panose="020F0702030404030204" pitchFamily="34" charset="0"/>
                      <a:ea typeface="Calibri bold" panose="020F0702030404030204" pitchFamily="34" charset="0"/>
                      <a:cs typeface="Calibri bold" panose="020F0702030404030204" pitchFamily="34" charset="0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4ABF-41A2-99E2-F7964384CF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rgbClr val="003A03"/>
                    </a:solidFill>
                    <a:latin typeface="Calibri bold" panose="020F0702030404030204" pitchFamily="34" charset="0"/>
                    <a:ea typeface="Calibri bold" panose="020F0702030404030204" pitchFamily="34" charset="0"/>
                    <a:cs typeface="Calibri bold" panose="020F070203040403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prstDash val="sysDot"/>
                      <a:round/>
                      <a:headEnd type="oval" w="med" len="med"/>
                      <a:tailEnd type="triangle" w="med" len="med"/>
                    </a:ln>
                    <a:effectLst>
                      <a:outerShdw blurRad="50800" dist="38100" dir="5400000" algn="t" rotWithShape="0">
                        <a:prstClr val="black">
                          <a:alpha val="40000"/>
                        </a:prstClr>
                      </a:outerShdw>
                    </a:effectLst>
                  </c:spPr>
                </c15:leaderLines>
              </c:ext>
            </c:extLst>
          </c:dLbls>
          <c:cat>
            <c:strRef>
              <c:f>'Calcular '!$G$23:$G$27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'Calcular '!$H$23:$H$27</c:f>
              <c:numCache>
                <c:formatCode>0.00%</c:formatCode>
                <c:ptCount val="5"/>
                <c:pt idx="0">
                  <c:v>-3.3098451514189775E-2</c:v>
                </c:pt>
                <c:pt idx="1">
                  <c:v>0.11081377613613386</c:v>
                </c:pt>
                <c:pt idx="2">
                  <c:v>2.3307904743038232E-2</c:v>
                </c:pt>
                <c:pt idx="3">
                  <c:v>7.3162985707475592E-3</c:v>
                </c:pt>
                <c:pt idx="4">
                  <c:v>2.3560545451554393E-2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BF-41A2-99E2-F7964384CF1D}"/>
            </c:ext>
          </c:extLst>
        </c:ser>
        <c:ser>
          <c:idx val="0"/>
          <c:order val="1"/>
          <c:tx>
            <c:strRef>
              <c:f>'Calcular '!$I$22</c:f>
              <c:strCache>
                <c:ptCount val="1"/>
                <c:pt idx="0">
                  <c:v>Inflacion Subyacente  </c:v>
                </c:pt>
              </c:strCache>
            </c:strRef>
          </c:tx>
          <c:spPr>
            <a:ln w="38100" cap="rnd">
              <a:solidFill>
                <a:srgbClr val="D06812"/>
              </a:solidFill>
              <a:round/>
              <a:headEnd type="none" w="med" len="med"/>
              <a:tailEnd type="arrow" w="med" len="med"/>
            </a:ln>
            <a:effectLst>
              <a:glow rad="101600">
                <a:schemeClr val="accent2">
                  <a:satMod val="175000"/>
                  <a:alpha val="40000"/>
                </a:schemeClr>
              </a:glo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38100">
                <a:solidFill>
                  <a:srgbClr val="D06812"/>
                </a:solidFill>
                <a:headEnd type="none" w="med" len="med"/>
                <a:tailEnd type="arrow" w="med" len="med"/>
              </a:ln>
              <a:effectLst>
                <a:glow rad="101600">
                  <a:schemeClr val="accent2">
                    <a:satMod val="175000"/>
                    <a:alpha val="40000"/>
                  </a:schemeClr>
                </a:glow>
              </a:effectLst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38100">
                  <a:solidFill>
                    <a:srgbClr val="D06812"/>
                  </a:solidFill>
                  <a:headEnd type="none" w="med" len="med"/>
                  <a:tailEnd type="arrow" w="med" len="med"/>
                </a:ln>
                <a:effectLst>
                  <a:glow rad="101600">
                    <a:schemeClr val="accent2">
                      <a:satMod val="175000"/>
                      <a:alpha val="40000"/>
                    </a:schemeClr>
                  </a:glow>
                </a:effectLst>
              </c:spPr>
            </c:marker>
            <c:bubble3D val="0"/>
            <c:spPr>
              <a:ln w="38100" cap="rnd">
                <a:solidFill>
                  <a:srgbClr val="D06812"/>
                </a:solidFill>
                <a:round/>
                <a:headEnd type="none" w="med" len="med"/>
                <a:tailEnd type="arrow" w="med" len="med"/>
              </a:ln>
              <a:effectLst>
                <a:glow rad="101600">
                  <a:schemeClr val="accent2">
                    <a:satMod val="175000"/>
                    <a:alpha val="4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2-4ABF-41A2-99E2-F7964384CF1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38100">
                  <a:solidFill>
                    <a:srgbClr val="D06812"/>
                  </a:solidFill>
                  <a:headEnd type="none" w="med" len="med"/>
                  <a:tailEnd type="arrow" w="med" len="med"/>
                </a:ln>
                <a:effectLst>
                  <a:glow rad="101600">
                    <a:schemeClr val="accent2">
                      <a:satMod val="175000"/>
                      <a:alpha val="40000"/>
                    </a:schemeClr>
                  </a:glow>
                </a:effectLst>
              </c:spPr>
            </c:marker>
            <c:bubble3D val="0"/>
            <c:spPr>
              <a:ln w="38100" cap="rnd">
                <a:solidFill>
                  <a:srgbClr val="D06812"/>
                </a:solidFill>
                <a:round/>
                <a:headEnd type="none" w="med" len="med"/>
                <a:tailEnd type="arrow" w="med" len="med"/>
              </a:ln>
              <a:effectLst>
                <a:glow rad="101600">
                  <a:schemeClr val="accent2">
                    <a:satMod val="175000"/>
                    <a:alpha val="4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3-4ABF-41A2-99E2-F7964384CF1D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38100">
                  <a:solidFill>
                    <a:srgbClr val="D06812"/>
                  </a:solidFill>
                  <a:headEnd type="none" w="med" len="med"/>
                  <a:tailEnd type="arrow" w="med" len="med"/>
                </a:ln>
                <a:effectLst>
                  <a:glow rad="101600">
                    <a:schemeClr val="accent2">
                      <a:satMod val="175000"/>
                      <a:alpha val="40000"/>
                    </a:schemeClr>
                  </a:glow>
                </a:effectLst>
              </c:spPr>
            </c:marker>
            <c:bubble3D val="0"/>
            <c:spPr>
              <a:ln w="38100" cap="rnd">
                <a:solidFill>
                  <a:srgbClr val="D06812"/>
                </a:solidFill>
                <a:round/>
                <a:headEnd type="none" w="med" len="med"/>
                <a:tailEnd type="arrow" w="med" len="med"/>
              </a:ln>
              <a:effectLst>
                <a:glow rad="101600">
                  <a:schemeClr val="accent2">
                    <a:satMod val="175000"/>
                    <a:alpha val="4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4-4ABF-41A2-99E2-F7964384CF1D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38100">
                  <a:solidFill>
                    <a:srgbClr val="D06812"/>
                  </a:solidFill>
                  <a:headEnd type="none" w="med" len="med"/>
                  <a:tailEnd type="arrow" w="med" len="med"/>
                </a:ln>
                <a:effectLst>
                  <a:glow rad="101600">
                    <a:schemeClr val="accent2">
                      <a:satMod val="175000"/>
                      <a:alpha val="40000"/>
                    </a:schemeClr>
                  </a:glow>
                </a:effectLst>
              </c:spPr>
            </c:marker>
            <c:bubble3D val="0"/>
            <c:spPr>
              <a:ln w="38100" cap="rnd">
                <a:solidFill>
                  <a:srgbClr val="D06812"/>
                </a:solidFill>
                <a:round/>
                <a:headEnd type="none" w="med" len="med"/>
                <a:tailEnd type="arrow" w="med" len="med"/>
              </a:ln>
              <a:effectLst>
                <a:glow rad="101600">
                  <a:schemeClr val="accent2">
                    <a:satMod val="175000"/>
                    <a:alpha val="4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5-4ABF-41A2-99E2-F7964384CF1D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38100">
                  <a:solidFill>
                    <a:srgbClr val="D06812"/>
                  </a:solidFill>
                  <a:headEnd type="none" w="med" len="med"/>
                  <a:tailEnd type="arrow" w="med" len="med"/>
                </a:ln>
                <a:effectLst>
                  <a:glow rad="101600">
                    <a:schemeClr val="accent2">
                      <a:satMod val="175000"/>
                      <a:alpha val="40000"/>
                    </a:schemeClr>
                  </a:glow>
                </a:effectLst>
              </c:spPr>
            </c:marker>
            <c:bubble3D val="0"/>
            <c:spPr>
              <a:ln w="38100" cap="rnd">
                <a:solidFill>
                  <a:srgbClr val="D06812"/>
                </a:solidFill>
                <a:round/>
                <a:headEnd type="none" w="med" len="med"/>
                <a:tailEnd type="arrow" w="med" len="med"/>
              </a:ln>
              <a:effectLst>
                <a:glow rad="101600">
                  <a:schemeClr val="accent2">
                    <a:satMod val="175000"/>
                    <a:alpha val="4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6-4ABF-41A2-99E2-F7964384CF1D}"/>
              </c:ext>
            </c:extLst>
          </c:dPt>
          <c:dLbls>
            <c:dLbl>
              <c:idx val="0"/>
              <c:layout>
                <c:manualLayout>
                  <c:x val="-3.639230474686752E-2"/>
                  <c:y val="-7.459208554478799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rgbClr val="FF0000"/>
                      </a:solidFill>
                      <a:latin typeface="Calibri bold" panose="020F0702030404030204" pitchFamily="34" charset="0"/>
                      <a:ea typeface="Calibri bold" panose="020F0702030404030204" pitchFamily="34" charset="0"/>
                      <a:cs typeface="Calibri bold" panose="020F0702030404030204" pitchFamily="34" charset="0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4ABF-41A2-99E2-F7964384CF1D}"/>
                </c:ext>
              </c:extLst>
            </c:dLbl>
            <c:dLbl>
              <c:idx val="1"/>
              <c:layout>
                <c:manualLayout>
                  <c:x val="-1.9333411896773373E-2"/>
                  <c:y val="-8.951050265374559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rgbClr val="003A03"/>
                      </a:solidFill>
                      <a:latin typeface="Calibri bold" panose="020F0702030404030204" pitchFamily="34" charset="0"/>
                      <a:ea typeface="Calibri bold" panose="020F0702030404030204" pitchFamily="34" charset="0"/>
                      <a:cs typeface="Calibri bold" panose="020F0702030404030204" pitchFamily="34" charset="0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4ABF-41A2-99E2-F7964384CF1D}"/>
                </c:ext>
              </c:extLst>
            </c:dLbl>
            <c:dLbl>
              <c:idx val="2"/>
              <c:layout>
                <c:manualLayout>
                  <c:x val="-1.705889285009415E-2"/>
                  <c:y val="-8.20512940992668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4ABF-41A2-99E2-F7964384CF1D}"/>
                </c:ext>
              </c:extLst>
            </c:dLbl>
            <c:dLbl>
              <c:idx val="3"/>
              <c:layout>
                <c:manualLayout>
                  <c:x val="-2.0470671420113024E-2"/>
                  <c:y val="-8.20512940992668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4ABF-41A2-99E2-F7964384CF1D}"/>
                </c:ext>
              </c:extLst>
            </c:dLbl>
            <c:dLbl>
              <c:idx val="4"/>
              <c:layout>
                <c:manualLayout>
                  <c:x val="-9.3907141151556191E-3"/>
                  <c:y val="-0.1156177325944213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rgbClr val="120D6D"/>
                      </a:solidFill>
                      <a:latin typeface="Calibri bold" panose="020F0702030404030204" pitchFamily="34" charset="0"/>
                      <a:ea typeface="Calibri bold" panose="020F0702030404030204" pitchFamily="34" charset="0"/>
                      <a:cs typeface="Calibri bold" panose="020F0702030404030204" pitchFamily="34" charset="0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4ABF-41A2-99E2-F7964384CF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rgbClr val="D06812"/>
                    </a:solidFill>
                    <a:latin typeface="Calibri bold" panose="020F0702030404030204" pitchFamily="34" charset="0"/>
                    <a:ea typeface="Calibri bold" panose="020F0702030404030204" pitchFamily="34" charset="0"/>
                    <a:cs typeface="Calibri bold" panose="020F070203040403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ysDash"/>
                      <a:round/>
                      <a:headEnd type="diamond" w="med" len="med"/>
                      <a:tailEnd type="triangle" w="med" len="med"/>
                    </a:ln>
                    <a:effectLst>
                      <a:outerShdw blurRad="50800" dist="38100" dir="5400000" algn="t" rotWithShape="0">
                        <a:prstClr val="black">
                          <a:alpha val="40000"/>
                        </a:prstClr>
                      </a:outerShdw>
                    </a:effectLst>
                  </c:spPr>
                </c15:leaderLines>
              </c:ext>
            </c:extLst>
          </c:dLbls>
          <c:cat>
            <c:strRef>
              <c:f>'Calcular '!$G$23:$G$27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'Calcular '!$I$23:$I$27</c:f>
              <c:numCache>
                <c:formatCode>0.00%</c:formatCode>
                <c:ptCount val="5"/>
                <c:pt idx="0">
                  <c:v>1.0343160947317465E-2</c:v>
                </c:pt>
                <c:pt idx="1">
                  <c:v>3.4443168771526977E-2</c:v>
                </c:pt>
                <c:pt idx="2">
                  <c:v>9.9889012208657091E-2</c:v>
                </c:pt>
                <c:pt idx="3">
                  <c:v>0.1033467877564751</c:v>
                </c:pt>
                <c:pt idx="4">
                  <c:v>5.6474354088865253E-2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4ABF-41A2-99E2-F7964384CF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09615824"/>
        <c:axId val="709616304"/>
      </c:lineChart>
      <c:catAx>
        <c:axId val="70961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  <a:reflection blurRad="6350" stA="60000" endA="900" endPos="58000" dir="5400000" sy="-100000" algn="bl" rotWithShape="0"/>
                </a:effectLst>
                <a:latin typeface="Calibri bold" panose="020F0702030404030204" pitchFamily="34" charset="0"/>
                <a:ea typeface="Calibri bold" panose="020F0702030404030204" pitchFamily="34" charset="0"/>
                <a:cs typeface="Calibri bold" panose="020F0702030404030204" pitchFamily="34" charset="0"/>
              </a:defRPr>
            </a:pPr>
            <a:endParaRPr lang="es-CO"/>
          </a:p>
        </c:txPr>
        <c:crossAx val="709616304"/>
        <c:crosses val="autoZero"/>
        <c:auto val="1"/>
        <c:lblAlgn val="ctr"/>
        <c:lblOffset val="100"/>
        <c:noMultiLvlLbl val="0"/>
      </c:catAx>
      <c:valAx>
        <c:axId val="70961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  <a:reflection blurRad="6350" stA="60000" endA="900" endPos="58000" dir="5400000" sy="-100000" algn="bl" rotWithShape="0"/>
                </a:effectLst>
                <a:latin typeface="+mn-lt"/>
                <a:ea typeface="+mn-ea"/>
                <a:cs typeface="+mn-cs"/>
              </a:defRPr>
            </a:pPr>
            <a:endParaRPr lang="es-CO"/>
          </a:p>
        </c:txPr>
        <c:crossAx val="70961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282520754058929"/>
          <c:y val="1.8359344141746115E-2"/>
          <c:w val="0.18717479245941068"/>
          <c:h val="0.180064413496233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7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202065</xdr:colOff>
      <xdr:row>0</xdr:row>
      <xdr:rowOff>0</xdr:rowOff>
    </xdr:from>
    <xdr:to>
      <xdr:col>28</xdr:col>
      <xdr:colOff>423861</xdr:colOff>
      <xdr:row>9</xdr:row>
      <xdr:rowOff>142874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EDF61D6B-C02D-E235-4837-A1ADA4427014}"/>
            </a:ext>
          </a:extLst>
        </xdr:cNvPr>
        <xdr:cNvSpPr txBox="1"/>
      </xdr:nvSpPr>
      <xdr:spPr>
        <a:xfrm>
          <a:off x="10703378" y="0"/>
          <a:ext cx="10127796" cy="173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4000">
              <a:ln>
                <a:noFill/>
              </a:ln>
              <a:solidFill>
                <a:srgbClr val="0D0943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60000" endA="900" endPos="58000" dir="5400000" sy="-100000" algn="bl" rotWithShape="0"/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¿Crecio</a:t>
          </a:r>
          <a:r>
            <a:rPr lang="es-CO" sz="4000" baseline="0">
              <a:ln>
                <a:noFill/>
              </a:ln>
              <a:solidFill>
                <a:srgbClr val="0D0943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60000" endA="900" endPos="58000" dir="5400000" sy="-100000" algn="bl" rotWithShape="0"/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 Colombia o</a:t>
          </a:r>
          <a:br>
            <a:rPr lang="es-CO" sz="4000" baseline="0">
              <a:ln>
                <a:noFill/>
              </a:ln>
              <a:solidFill>
                <a:srgbClr val="0D0943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60000" endA="900" endPos="58000" dir="5400000" sy="-100000" algn="bl" rotWithShape="0"/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</a:br>
          <a:r>
            <a:rPr lang="es-CO" sz="4000" baseline="0">
              <a:ln>
                <a:noFill/>
              </a:ln>
              <a:solidFill>
                <a:srgbClr val="0D0943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60000" endA="900" endPos="58000" dir="5400000" sy="-100000" algn="bl" rotWithShape="0"/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Solo subieron los precios? </a:t>
          </a:r>
          <a:endParaRPr lang="es-CO" sz="4000">
            <a:ln>
              <a:noFill/>
            </a:ln>
            <a:solidFill>
              <a:srgbClr val="0D0943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  <a:reflection blurRad="6350" stA="60000" endA="900" endPos="58000" dir="5400000" sy="-100000" algn="bl" rotWithShape="0"/>
            </a:effectLst>
            <a:latin typeface="Calibri bold" panose="020F0702030404030204" pitchFamily="34" charset="0"/>
            <a:ea typeface="Calibri bold" panose="020F0702030404030204" pitchFamily="34" charset="0"/>
            <a:cs typeface="Calibri bold" panose="020F0702030404030204" pitchFamily="34" charset="0"/>
          </a:endParaRPr>
        </a:p>
      </xdr:txBody>
    </xdr:sp>
    <xdr:clientData/>
  </xdr:twoCellAnchor>
  <xdr:twoCellAnchor>
    <xdr:from>
      <xdr:col>0</xdr:col>
      <xdr:colOff>0</xdr:colOff>
      <xdr:row>6</xdr:row>
      <xdr:rowOff>123823</xdr:rowOff>
    </xdr:from>
    <xdr:to>
      <xdr:col>34</xdr:col>
      <xdr:colOff>723900</xdr:colOff>
      <xdr:row>38</xdr:row>
      <xdr:rowOff>71436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F49AB48-BCB5-490F-987C-DDAB0FF838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302560</xdr:colOff>
      <xdr:row>41</xdr:row>
      <xdr:rowOff>88884</xdr:rowOff>
    </xdr:from>
    <xdr:to>
      <xdr:col>23</xdr:col>
      <xdr:colOff>11206</xdr:colOff>
      <xdr:row>43</xdr:row>
      <xdr:rowOff>87101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B517113C-6952-AA2B-B501-22DA1267E84C}"/>
            </a:ext>
          </a:extLst>
        </xdr:cNvPr>
        <xdr:cNvSpPr txBox="1"/>
      </xdr:nvSpPr>
      <xdr:spPr>
        <a:xfrm>
          <a:off x="13007229" y="7848958"/>
          <a:ext cx="3490631" cy="390422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800">
              <a:solidFill>
                <a:srgbClr val="120D6D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60000" endA="900" endPos="58000" dir="5400000" sy="-100000" algn="bl" rotWithShape="0"/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TOP 5:</a:t>
          </a:r>
          <a:r>
            <a:rPr lang="es-CO" sz="1800" baseline="0">
              <a:solidFill>
                <a:srgbClr val="120D6D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60000" endA="900" endPos="58000" dir="5400000" sy="-100000" algn="bl" rotWithShape="0"/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 Años Dorados De Colombia</a:t>
          </a:r>
          <a:endParaRPr lang="es-CO" sz="1800">
            <a:solidFill>
              <a:srgbClr val="120D6D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  <a:reflection blurRad="6350" stA="60000" endA="900" endPos="58000" dir="5400000" sy="-100000" algn="bl" rotWithShape="0"/>
            </a:effectLst>
            <a:latin typeface="Calibri bold" panose="020F0702030404030204" pitchFamily="34" charset="0"/>
            <a:ea typeface="Calibri bold" panose="020F0702030404030204" pitchFamily="34" charset="0"/>
            <a:cs typeface="Calibri bold" panose="020F0702030404030204" pitchFamily="34" charset="0"/>
          </a:endParaRPr>
        </a:p>
      </xdr:txBody>
    </xdr:sp>
    <xdr:clientData/>
  </xdr:twoCellAnchor>
  <xdr:twoCellAnchor>
    <xdr:from>
      <xdr:col>19</xdr:col>
      <xdr:colOff>86285</xdr:colOff>
      <xdr:row>44</xdr:row>
      <xdr:rowOff>0</xdr:rowOff>
    </xdr:from>
    <xdr:to>
      <xdr:col>22</xdr:col>
      <xdr:colOff>0</xdr:colOff>
      <xdr:row>58</xdr:row>
      <xdr:rowOff>0</xdr:rowOff>
    </xdr:to>
    <xdr:grpSp>
      <xdr:nvGrpSpPr>
        <xdr:cNvPr id="16" name="Grupo 15">
          <a:extLst>
            <a:ext uri="{FF2B5EF4-FFF2-40B4-BE49-F238E27FC236}">
              <a16:creationId xmlns:a16="http://schemas.microsoft.com/office/drawing/2014/main" id="{2586AE1B-FC01-8196-B725-751F3580A7F0}"/>
            </a:ext>
          </a:extLst>
        </xdr:cNvPr>
        <xdr:cNvGrpSpPr/>
      </xdr:nvGrpSpPr>
      <xdr:grpSpPr>
        <a:xfrm>
          <a:off x="13707035" y="8096250"/>
          <a:ext cx="2199715" cy="2667000"/>
          <a:chOff x="13652606" y="8123464"/>
          <a:chExt cx="2199715" cy="2667000"/>
        </a:xfrm>
      </xdr:grpSpPr>
      <xdr:sp macro="" textlink="">
        <xdr:nvSpPr>
          <xdr:cNvPr id="11" name="CuadroTexto 10">
            <a:extLst>
              <a:ext uri="{FF2B5EF4-FFF2-40B4-BE49-F238E27FC236}">
                <a16:creationId xmlns:a16="http://schemas.microsoft.com/office/drawing/2014/main" id="{D44F677A-BB75-497A-A627-15E4ED321E34}"/>
              </a:ext>
            </a:extLst>
          </xdr:cNvPr>
          <xdr:cNvSpPr txBox="1"/>
        </xdr:nvSpPr>
        <xdr:spPr>
          <a:xfrm>
            <a:off x="13662973" y="8123464"/>
            <a:ext cx="665348" cy="379218"/>
          </a:xfrm>
          <a:prstGeom prst="rect">
            <a:avLst/>
          </a:prstGeom>
          <a:solidFill>
            <a:srgbClr val="0D0943"/>
          </a:solidFill>
          <a:ln w="9525" cmpd="sng"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800" b="0" i="0" u="none" strike="noStrike" kern="0" cap="none" spc="0" normalizeH="0" baseline="0" noProof="0">
                <a:ln>
                  <a:noFill/>
                </a:ln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  <a:reflection blurRad="6350" stA="60000" endA="900" endPos="58000" dir="5400000" sy="-100000" algn="bl" rotWithShape="0"/>
                </a:effectLst>
                <a:uLnTx/>
                <a:uFillTx/>
                <a:latin typeface="Calibri bold" panose="020F0702030404030204" pitchFamily="34" charset="0"/>
                <a:ea typeface="Calibri bold" panose="020F0702030404030204" pitchFamily="34" charset="0"/>
                <a:cs typeface="Calibri bold" panose="020F0702030404030204" pitchFamily="34" charset="0"/>
              </a:rPr>
              <a:t>2021</a:t>
            </a:r>
          </a:p>
        </xdr:txBody>
      </xdr:sp>
      <xdr:sp macro="" textlink="">
        <xdr:nvSpPr>
          <xdr:cNvPr id="12" name="CuadroTexto 11">
            <a:extLst>
              <a:ext uri="{FF2B5EF4-FFF2-40B4-BE49-F238E27FC236}">
                <a16:creationId xmlns:a16="http://schemas.microsoft.com/office/drawing/2014/main" id="{E7222C12-A097-4B15-8CCA-CDE2E070606D}"/>
              </a:ext>
            </a:extLst>
          </xdr:cNvPr>
          <xdr:cNvSpPr txBox="1"/>
        </xdr:nvSpPr>
        <xdr:spPr>
          <a:xfrm>
            <a:off x="13655968" y="8694964"/>
            <a:ext cx="672353" cy="379217"/>
          </a:xfrm>
          <a:prstGeom prst="rect">
            <a:avLst/>
          </a:prstGeom>
          <a:solidFill>
            <a:schemeClr val="accent2"/>
          </a:solidFill>
          <a:ln w="9525" cmpd="sng"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800" b="0" i="0" u="none" strike="noStrike" kern="0" cap="none" spc="0" normalizeH="0" baseline="0">
                <a:ln>
                  <a:noFill/>
                </a:ln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  <a:reflection blurRad="6350" stA="60000" endA="900" endPos="58000" dir="5400000" sy="-100000" algn="bl" rotWithShape="0"/>
                </a:effectLst>
                <a:uLnTx/>
                <a:uFillTx/>
                <a:latin typeface="Calibri bold" panose="020F0702030404030204" pitchFamily="34" charset="0"/>
                <a:ea typeface="Calibri bold" panose="020F0702030404030204" pitchFamily="34" charset="0"/>
                <a:cs typeface="Calibri bold" panose="020F0702030404030204" pitchFamily="34" charset="0"/>
              </a:rPr>
              <a:t>2013</a:t>
            </a:r>
          </a:p>
        </xdr:txBody>
      </xdr:sp>
      <xdr:sp macro="" textlink="">
        <xdr:nvSpPr>
          <xdr:cNvPr id="13" name="CuadroTexto 12">
            <a:extLst>
              <a:ext uri="{FF2B5EF4-FFF2-40B4-BE49-F238E27FC236}">
                <a16:creationId xmlns:a16="http://schemas.microsoft.com/office/drawing/2014/main" id="{82CE7256-F8D1-4CE6-BC63-B7293F3A15F4}"/>
              </a:ext>
            </a:extLst>
          </xdr:cNvPr>
          <xdr:cNvSpPr txBox="1"/>
        </xdr:nvSpPr>
        <xdr:spPr>
          <a:xfrm>
            <a:off x="13654287" y="9255258"/>
            <a:ext cx="674034" cy="379218"/>
          </a:xfrm>
          <a:prstGeom prst="rect">
            <a:avLst/>
          </a:prstGeom>
          <a:solidFill>
            <a:schemeClr val="accent2"/>
          </a:solidFill>
          <a:ln w="9525" cmpd="sng"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800" b="0" i="0" u="none" strike="noStrike" kern="0" cap="none" spc="0" normalizeH="0" baseline="0">
                <a:ln>
                  <a:noFill/>
                </a:ln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  <a:reflection blurRad="6350" stA="60000" endA="900" endPos="58000" dir="5400000" sy="-100000" algn="bl" rotWithShape="0"/>
                </a:effectLst>
                <a:uLnTx/>
                <a:uFillTx/>
                <a:latin typeface="Calibri bold" panose="020F0702030404030204" pitchFamily="34" charset="0"/>
                <a:ea typeface="Calibri bold" panose="020F0702030404030204" pitchFamily="34" charset="0"/>
                <a:cs typeface="Calibri bold" panose="020F0702030404030204" pitchFamily="34" charset="0"/>
              </a:rPr>
              <a:t>2011</a:t>
            </a:r>
          </a:p>
        </xdr:txBody>
      </xdr:sp>
      <xdr:sp macro="" textlink="">
        <xdr:nvSpPr>
          <xdr:cNvPr id="14" name="CuadroTexto 13">
            <a:extLst>
              <a:ext uri="{FF2B5EF4-FFF2-40B4-BE49-F238E27FC236}">
                <a16:creationId xmlns:a16="http://schemas.microsoft.com/office/drawing/2014/main" id="{6E241717-9B19-4C48-B714-142A92E3AC85}"/>
              </a:ext>
            </a:extLst>
          </xdr:cNvPr>
          <xdr:cNvSpPr txBox="1"/>
        </xdr:nvSpPr>
        <xdr:spPr>
          <a:xfrm>
            <a:off x="13652606" y="9839747"/>
            <a:ext cx="675715" cy="379217"/>
          </a:xfrm>
          <a:prstGeom prst="rect">
            <a:avLst/>
          </a:prstGeom>
          <a:solidFill>
            <a:schemeClr val="accent2"/>
          </a:solidFill>
          <a:ln w="9525" cmpd="sng"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800" b="0" i="0" u="none" strike="noStrike" kern="0" cap="none" spc="0" normalizeH="0" baseline="0">
                <a:ln>
                  <a:noFill/>
                </a:ln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  <a:reflection blurRad="6350" stA="60000" endA="900" endPos="58000" dir="5400000" sy="-100000" algn="bl" rotWithShape="0"/>
                </a:effectLst>
                <a:uLnTx/>
                <a:uFillTx/>
                <a:latin typeface="Calibri bold" panose="020F0702030404030204" pitchFamily="34" charset="0"/>
                <a:ea typeface="Calibri bold" panose="020F0702030404030204" pitchFamily="34" charset="0"/>
                <a:cs typeface="Calibri bold" panose="020F0702030404030204" pitchFamily="34" charset="0"/>
              </a:rPr>
              <a:t>2010</a:t>
            </a:r>
          </a:p>
        </xdr:txBody>
      </xdr:sp>
      <xdr:sp macro="" textlink="">
        <xdr:nvSpPr>
          <xdr:cNvPr id="15" name="CuadroTexto 14">
            <a:extLst>
              <a:ext uri="{FF2B5EF4-FFF2-40B4-BE49-F238E27FC236}">
                <a16:creationId xmlns:a16="http://schemas.microsoft.com/office/drawing/2014/main" id="{27CE4B20-BFB9-44B6-9768-0106E8AAF109}"/>
              </a:ext>
            </a:extLst>
          </xdr:cNvPr>
          <xdr:cNvSpPr txBox="1"/>
        </xdr:nvSpPr>
        <xdr:spPr>
          <a:xfrm>
            <a:off x="13657928" y="10411246"/>
            <a:ext cx="670393" cy="379218"/>
          </a:xfrm>
          <a:prstGeom prst="rect">
            <a:avLst/>
          </a:prstGeom>
          <a:solidFill>
            <a:schemeClr val="accent2"/>
          </a:solidFill>
          <a:ln w="9525" cmpd="sng"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800" b="0" i="0" u="none" strike="noStrike" kern="0" cap="none" spc="0" normalizeH="0" baseline="0">
                <a:ln>
                  <a:noFill/>
                </a:ln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  <a:reflection blurRad="6350" stA="60000" endA="900" endPos="58000" dir="5400000" sy="-100000" algn="bl" rotWithShape="0"/>
                </a:effectLst>
                <a:uLnTx/>
                <a:uFillTx/>
                <a:latin typeface="Calibri bold" panose="020F0702030404030204" pitchFamily="34" charset="0"/>
                <a:ea typeface="Calibri bold" panose="020F0702030404030204" pitchFamily="34" charset="0"/>
                <a:cs typeface="Calibri bold" panose="020F0702030404030204" pitchFamily="34" charset="0"/>
              </a:rPr>
              <a:t>2014</a:t>
            </a:r>
          </a:p>
        </xdr:txBody>
      </xdr:sp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DBA97773-FBAC-45B0-BE61-661C63516B37}"/>
              </a:ext>
            </a:extLst>
          </xdr:cNvPr>
          <xdr:cNvSpPr txBox="1"/>
        </xdr:nvSpPr>
        <xdr:spPr>
          <a:xfrm>
            <a:off x="14748542" y="8123464"/>
            <a:ext cx="1103779" cy="379218"/>
          </a:xfrm>
          <a:prstGeom prst="rect">
            <a:avLst/>
          </a:prstGeom>
          <a:solidFill>
            <a:srgbClr val="0D0943"/>
          </a:solidFill>
          <a:ln w="9525" cmpd="sng"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800" b="0" i="0" u="none" strike="noStrike" kern="0" cap="none" spc="0" normalizeH="0" baseline="0" noProof="0">
                <a:ln>
                  <a:noFill/>
                </a:ln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  <a:reflection blurRad="6350" stA="60000" endA="900" endPos="58000" dir="5400000" sy="-100000" algn="bl" rotWithShape="0"/>
                </a:effectLst>
                <a:uLnTx/>
                <a:uFillTx/>
                <a:latin typeface="Calibri bold" panose="020F0702030404030204" pitchFamily="34" charset="0"/>
                <a:ea typeface="Calibri bold" panose="020F0702030404030204" pitchFamily="34" charset="0"/>
                <a:cs typeface="Calibri bold" panose="020F0702030404030204" pitchFamily="34" charset="0"/>
              </a:rPr>
              <a:t>+ 11.08%</a:t>
            </a:r>
          </a:p>
        </xdr:txBody>
      </xdr:sp>
      <xdr:sp macro="" textlink="">
        <xdr:nvSpPr>
          <xdr:cNvPr id="19" name="CuadroTexto 18">
            <a:extLst>
              <a:ext uri="{FF2B5EF4-FFF2-40B4-BE49-F238E27FC236}">
                <a16:creationId xmlns:a16="http://schemas.microsoft.com/office/drawing/2014/main" id="{297152C1-C5CA-4309-B2DC-C02BAF81B776}"/>
              </a:ext>
            </a:extLst>
          </xdr:cNvPr>
          <xdr:cNvSpPr txBox="1"/>
        </xdr:nvSpPr>
        <xdr:spPr>
          <a:xfrm>
            <a:off x="14754145" y="8694964"/>
            <a:ext cx="1098176" cy="379217"/>
          </a:xfrm>
          <a:prstGeom prst="rect">
            <a:avLst/>
          </a:prstGeom>
          <a:solidFill>
            <a:schemeClr val="accent2"/>
          </a:solidFill>
          <a:ln w="9525" cmpd="sng"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800" b="0" i="0" u="none" strike="noStrike" kern="0" cap="none" spc="0" normalizeH="0" baseline="0" noProof="0">
                <a:ln>
                  <a:noFill/>
                </a:ln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  <a:reflection blurRad="6350" stA="60000" endA="900" endPos="58000" dir="5400000" sy="-100000" algn="bl" rotWithShape="0"/>
                </a:effectLst>
                <a:uLnTx/>
                <a:uFillTx/>
                <a:latin typeface="Calibri bold" panose="020F0702030404030204" pitchFamily="34" charset="0"/>
                <a:ea typeface="Calibri bold" panose="020F0702030404030204" pitchFamily="34" charset="0"/>
                <a:cs typeface="Calibri bold" panose="020F0702030404030204" pitchFamily="34" charset="0"/>
              </a:rPr>
              <a:t>+6.35%</a:t>
            </a:r>
          </a:p>
        </xdr:txBody>
      </xdr:sp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96375CBE-887C-4FFF-8DB0-65C291916A7B}"/>
              </a:ext>
            </a:extLst>
          </xdr:cNvPr>
          <xdr:cNvSpPr txBox="1"/>
        </xdr:nvSpPr>
        <xdr:spPr>
          <a:xfrm>
            <a:off x="14748542" y="9268246"/>
            <a:ext cx="1103779" cy="379218"/>
          </a:xfrm>
          <a:prstGeom prst="rect">
            <a:avLst/>
          </a:prstGeom>
          <a:solidFill>
            <a:schemeClr val="accent2"/>
          </a:solidFill>
          <a:ln w="9525" cmpd="sng"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800" b="0" i="0" u="none" strike="noStrike" kern="0" cap="none" spc="0" normalizeH="0" baseline="0" noProof="0">
                <a:ln>
                  <a:noFill/>
                </a:ln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  <a:reflection blurRad="6350" stA="60000" endA="900" endPos="58000" dir="5400000" sy="-100000" algn="bl" rotWithShape="0"/>
                </a:effectLst>
                <a:uLnTx/>
                <a:uFillTx/>
                <a:latin typeface="Calibri bold" panose="020F0702030404030204" pitchFamily="34" charset="0"/>
                <a:ea typeface="Calibri bold" panose="020F0702030404030204" pitchFamily="34" charset="0"/>
                <a:cs typeface="Calibri bold" panose="020F0702030404030204" pitchFamily="34" charset="0"/>
              </a:rPr>
              <a:t>+6.33%</a:t>
            </a:r>
          </a:p>
        </xdr:txBody>
      </xdr:sp>
      <xdr:sp macro="" textlink="">
        <xdr:nvSpPr>
          <xdr:cNvPr id="21" name="CuadroTexto 20">
            <a:extLst>
              <a:ext uri="{FF2B5EF4-FFF2-40B4-BE49-F238E27FC236}">
                <a16:creationId xmlns:a16="http://schemas.microsoft.com/office/drawing/2014/main" id="{EA7DDBBC-7C99-45E0-A416-06D6F73EB356}"/>
              </a:ext>
            </a:extLst>
          </xdr:cNvPr>
          <xdr:cNvSpPr txBox="1"/>
        </xdr:nvSpPr>
        <xdr:spPr>
          <a:xfrm>
            <a:off x="14755546" y="9839747"/>
            <a:ext cx="1096775" cy="379217"/>
          </a:xfrm>
          <a:prstGeom prst="rect">
            <a:avLst/>
          </a:prstGeom>
          <a:solidFill>
            <a:schemeClr val="accent2"/>
          </a:solidFill>
          <a:ln w="9525" cmpd="sng"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800" b="0" i="0" u="none" strike="noStrike" kern="0" cap="none" spc="0" normalizeH="0" baseline="0" noProof="0">
                <a:ln>
                  <a:noFill/>
                </a:ln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  <a:reflection blurRad="6350" stA="60000" endA="900" endPos="58000" dir="5400000" sy="-100000" algn="bl" rotWithShape="0"/>
                </a:effectLst>
                <a:uLnTx/>
                <a:uFillTx/>
                <a:latin typeface="Calibri bold" panose="020F0702030404030204" pitchFamily="34" charset="0"/>
                <a:ea typeface="Calibri bold" panose="020F0702030404030204" pitchFamily="34" charset="0"/>
                <a:cs typeface="Calibri bold" panose="020F0702030404030204" pitchFamily="34" charset="0"/>
              </a:rPr>
              <a:t>+5.34%</a:t>
            </a:r>
          </a:p>
        </xdr:txBody>
      </xdr:sp>
      <xdr:sp macro="" textlink="">
        <xdr:nvSpPr>
          <xdr:cNvPr id="22" name="CuadroTexto 21">
            <a:extLst>
              <a:ext uri="{FF2B5EF4-FFF2-40B4-BE49-F238E27FC236}">
                <a16:creationId xmlns:a16="http://schemas.microsoft.com/office/drawing/2014/main" id="{EFD4E69F-F648-4BE9-ACB5-B53558943FF6}"/>
              </a:ext>
            </a:extLst>
          </xdr:cNvPr>
          <xdr:cNvSpPr txBox="1"/>
        </xdr:nvSpPr>
        <xdr:spPr>
          <a:xfrm>
            <a:off x="14766471" y="10409464"/>
            <a:ext cx="1085850" cy="379218"/>
          </a:xfrm>
          <a:prstGeom prst="rect">
            <a:avLst/>
          </a:prstGeom>
          <a:solidFill>
            <a:schemeClr val="accent2"/>
          </a:solidFill>
          <a:ln w="9525" cmpd="sng"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800" b="0" i="0" u="none" strike="noStrike" kern="0" cap="none" spc="0" normalizeH="0" baseline="0" noProof="0">
                <a:ln>
                  <a:noFill/>
                </a:ln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  <a:reflection blurRad="6350" stA="60000" endA="900" endPos="58000" dir="5400000" sy="-100000" algn="bl" rotWithShape="0"/>
                </a:effectLst>
                <a:uLnTx/>
                <a:uFillTx/>
                <a:latin typeface="Calibri bold" panose="020F0702030404030204" pitchFamily="34" charset="0"/>
                <a:ea typeface="Calibri bold" panose="020F0702030404030204" pitchFamily="34" charset="0"/>
                <a:cs typeface="Calibri bold" panose="020F0702030404030204" pitchFamily="34" charset="0"/>
              </a:rPr>
              <a:t>+3.76%</a:t>
            </a:r>
          </a:p>
        </xdr:txBody>
      </xdr:sp>
    </xdr:grpSp>
    <xdr:clientData/>
  </xdr:twoCellAnchor>
  <xdr:twoCellAnchor editAs="oneCell">
    <xdr:from>
      <xdr:col>22</xdr:col>
      <xdr:colOff>593767</xdr:colOff>
      <xdr:row>41</xdr:row>
      <xdr:rowOff>152154</xdr:rowOff>
    </xdr:from>
    <xdr:to>
      <xdr:col>23</xdr:col>
      <xdr:colOff>128648</xdr:colOff>
      <xdr:row>43</xdr:row>
      <xdr:rowOff>68035</xdr:rowOff>
    </xdr:to>
    <xdr:pic>
      <xdr:nvPicPr>
        <xdr:cNvPr id="24" name="Gráfico 23" descr="Tendencia al alza">
          <a:extLst>
            <a:ext uri="{FF2B5EF4-FFF2-40B4-BE49-F238E27FC236}">
              <a16:creationId xmlns:a16="http://schemas.microsoft.com/office/drawing/2014/main" id="{58B676B1-378E-BD95-7F51-D49C421F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446088" y="6819654"/>
          <a:ext cx="296881" cy="296881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  <a:reflection blurRad="6350" stA="50000" endA="300" endPos="55000" dir="5400000" sy="-100000" algn="bl" rotWithShape="0"/>
        </a:effectLst>
      </xdr:spPr>
    </xdr:pic>
    <xdr:clientData/>
  </xdr:twoCellAnchor>
  <xdr:twoCellAnchor>
    <xdr:from>
      <xdr:col>18</xdr:col>
      <xdr:colOff>288951</xdr:colOff>
      <xdr:row>43</xdr:row>
      <xdr:rowOff>178495</xdr:rowOff>
    </xdr:from>
    <xdr:to>
      <xdr:col>19</xdr:col>
      <xdr:colOff>33618</xdr:colOff>
      <xdr:row>52</xdr:row>
      <xdr:rowOff>89646</xdr:rowOff>
    </xdr:to>
    <xdr:grpSp>
      <xdr:nvGrpSpPr>
        <xdr:cNvPr id="17" name="Grupo 16">
          <a:extLst>
            <a:ext uri="{FF2B5EF4-FFF2-40B4-BE49-F238E27FC236}">
              <a16:creationId xmlns:a16="http://schemas.microsoft.com/office/drawing/2014/main" id="{4509E562-62C7-4B5C-24FD-0F7366A77067}"/>
            </a:ext>
          </a:extLst>
        </xdr:cNvPr>
        <xdr:cNvGrpSpPr/>
      </xdr:nvGrpSpPr>
      <xdr:grpSpPr>
        <a:xfrm>
          <a:off x="13147701" y="8084245"/>
          <a:ext cx="506667" cy="1625651"/>
          <a:chOff x="13093272" y="8111459"/>
          <a:chExt cx="506667" cy="1625651"/>
        </a:xfrm>
      </xdr:grpSpPr>
      <xdr:pic>
        <xdr:nvPicPr>
          <xdr:cNvPr id="33" name="Imagen 32">
            <a:extLst>
              <a:ext uri="{FF2B5EF4-FFF2-40B4-BE49-F238E27FC236}">
                <a16:creationId xmlns:a16="http://schemas.microsoft.com/office/drawing/2014/main" id="{3DD2CFF0-56B4-B724-2220-0305A0BEFB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duotone>
              <a:schemeClr val="accent4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115685" y="8111459"/>
            <a:ext cx="484254" cy="484254"/>
          </a:xfrm>
          <a:prstGeom prst="rect">
            <a:avLst/>
          </a:prstGeom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  <a:reflection blurRad="6350" stA="50000" endA="300" endPos="55000" dir="5400000" sy="-100000" algn="bl" rotWithShape="0"/>
          </a:effectLst>
        </xdr:spPr>
      </xdr:pic>
      <xdr:pic>
        <xdr:nvPicPr>
          <xdr:cNvPr id="35" name="Imagen 34">
            <a:extLst>
              <a:ext uri="{FF2B5EF4-FFF2-40B4-BE49-F238E27FC236}">
                <a16:creationId xmlns:a16="http://schemas.microsoft.com/office/drawing/2014/main" id="{AF41416B-23E4-5BE4-E246-629AFFD690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duotone>
              <a:schemeClr val="accent3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093272" y="8713373"/>
            <a:ext cx="484255" cy="484255"/>
          </a:xfrm>
          <a:prstGeom prst="rect">
            <a:avLst/>
          </a:prstGeom>
          <a:effectLst>
            <a:outerShdw blurRad="50800" dist="38100" dir="5400000" algn="t" rotWithShape="0">
              <a:prstClr val="black">
                <a:alpha val="40000"/>
              </a:prstClr>
            </a:outerShdw>
            <a:reflection blurRad="6350" stA="50000" endA="300" endPos="55000" dir="5400000" sy="-100000" algn="bl" rotWithShape="0"/>
          </a:effectLst>
        </xdr:spPr>
      </xdr:pic>
      <xdr:pic>
        <xdr:nvPicPr>
          <xdr:cNvPr id="39" name="Imagen 38">
            <a:extLst>
              <a:ext uri="{FF2B5EF4-FFF2-40B4-BE49-F238E27FC236}">
                <a16:creationId xmlns:a16="http://schemas.microsoft.com/office/drawing/2014/main" id="{93E9346A-84BA-D2A3-164E-37938C17C6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duotone>
              <a:schemeClr val="accent2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106881" y="9255257"/>
            <a:ext cx="481853" cy="481853"/>
          </a:xfrm>
          <a:prstGeom prst="rect">
            <a:avLst/>
          </a:prstGeom>
          <a:effectLst>
            <a:outerShdw blurRad="50800" dist="38100" dir="5400000" algn="t" rotWithShape="0">
              <a:prstClr val="black">
                <a:alpha val="40000"/>
              </a:prstClr>
            </a:outerShdw>
            <a:reflection blurRad="6350" stA="50000" endA="300" endPos="55000" dir="5400000" sy="-100000" algn="bl" rotWithShape="0"/>
          </a:effectLst>
        </xdr:spPr>
      </xdr:pic>
    </xdr:grpSp>
    <xdr:clientData/>
  </xdr:twoCellAnchor>
  <xdr:twoCellAnchor>
    <xdr:from>
      <xdr:col>24</xdr:col>
      <xdr:colOff>504824</xdr:colOff>
      <xdr:row>41</xdr:row>
      <xdr:rowOff>171450</xdr:rowOff>
    </xdr:from>
    <xdr:to>
      <xdr:col>29</xdr:col>
      <xdr:colOff>352424</xdr:colOff>
      <xdr:row>61</xdr:row>
      <xdr:rowOff>19050</xdr:rowOff>
    </xdr:to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DF74EEA4-F3FE-F332-84A5-E9007779A581}"/>
            </a:ext>
          </a:extLst>
        </xdr:cNvPr>
        <xdr:cNvSpPr txBox="1"/>
      </xdr:nvSpPr>
      <xdr:spPr>
        <a:xfrm>
          <a:off x="17747875" y="7931524"/>
          <a:ext cx="3629586" cy="3769658"/>
        </a:xfrm>
        <a:prstGeom prst="rect">
          <a:avLst/>
        </a:prstGeom>
        <a:solidFill>
          <a:srgbClr val="7E0000"/>
        </a:solidFill>
        <a:ln w="9525" cmpd="sng">
          <a:solidFill>
            <a:srgbClr val="FF0000"/>
          </a:solidFill>
        </a:ln>
        <a:effectLst>
          <a:glow rad="368300">
            <a:srgbClr val="FF0000">
              <a:alpha val="60000"/>
            </a:srgbClr>
          </a:glow>
          <a:outerShdw blurRad="50800" dist="38100" dir="5400000" algn="t" rotWithShape="0">
            <a:prstClr val="black">
              <a:alpha val="40000"/>
            </a:prstClr>
          </a:outerShdw>
          <a:softEdge rad="50800"/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600">
              <a:gradFill flip="none" rotWithShape="1"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16200000" scaled="1"/>
                <a:tileRect/>
              </a:gra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⚠️ 2020: AÑO DE LA PANDEMIA</a:t>
          </a:r>
        </a:p>
        <a:p>
          <a:endParaRPr lang="es-CO" sz="1600"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16200000" scaled="1"/>
              <a:tileRect/>
            </a:gra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Calibri bold" panose="020F0702030404030204" pitchFamily="34" charset="0"/>
            <a:ea typeface="Calibri bold" panose="020F0702030404030204" pitchFamily="34" charset="0"/>
            <a:cs typeface="Calibri bold" panose="020F0702030404030204" pitchFamily="34" charset="0"/>
          </a:endParaRPr>
        </a:p>
        <a:p>
          <a:r>
            <a:rPr lang="es-CO" sz="1600">
              <a:gradFill flip="none" rotWithShape="1"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16200000" scaled="1"/>
                <a:tileRect/>
              </a:gra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 ─────────────────────────</a:t>
          </a:r>
        </a:p>
        <a:p>
          <a:r>
            <a:rPr lang="es-CO" sz="1600">
              <a:gradFill flip="none" rotWithShape="1"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16200000" scaled="1"/>
                <a:tileRect/>
              </a:gra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 </a:t>
          </a:r>
        </a:p>
        <a:p>
          <a:r>
            <a:rPr lang="es-CO" sz="1600">
              <a:gradFill flip="none" rotWithShape="1"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16200000" scaled="1"/>
                <a:tileRect/>
              </a:gra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📉 PIB: </a:t>
          </a:r>
          <a:r>
            <a:rPr lang="es-CO" sz="1600"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effectLst>
                <a:glow rad="63500">
                  <a:schemeClr val="accent2">
                    <a:satMod val="175000"/>
                    <a:alpha val="40000"/>
                  </a:schemeClr>
                </a:glow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-3.31% </a:t>
          </a:r>
        </a:p>
        <a:p>
          <a:r>
            <a:rPr lang="es-CO" sz="1600">
              <a:gradFill flip="none" rotWithShape="1"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16200000" scaled="1"/>
                <a:tileRect/>
              </a:gra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💸 Inflación: 1.03% </a:t>
          </a:r>
        </a:p>
        <a:p>
          <a:r>
            <a:rPr lang="es-CO" sz="1600">
              <a:gradFill flip="none" rotWithShape="1"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16200000" scaled="1"/>
                <a:tileRect/>
              </a:gra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📊 PIB Total: 226,464 MM</a:t>
          </a:r>
        </a:p>
        <a:p>
          <a:endParaRPr lang="es-CO" sz="1600"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16200000" scaled="1"/>
              <a:tileRect/>
            </a:gra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Calibri bold" panose="020F0702030404030204" pitchFamily="34" charset="0"/>
            <a:ea typeface="Calibri bold" panose="020F0702030404030204" pitchFamily="34" charset="0"/>
            <a:cs typeface="Calibri bold" panose="020F0702030404030204" pitchFamily="34" charset="0"/>
          </a:endParaRPr>
        </a:p>
        <a:p>
          <a:r>
            <a:rPr lang="es-CO" sz="1600">
              <a:gradFill flip="none" rotWithShape="1"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16200000" scaled="1"/>
                <a:tileRect/>
              </a:gra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 ───────────────────────── </a:t>
          </a:r>
          <a:br>
            <a:rPr lang="es-CO" sz="1600">
              <a:gradFill flip="none" rotWithShape="1"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16200000" scaled="1"/>
                <a:tileRect/>
              </a:gra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</a:br>
          <a:r>
            <a:rPr lang="es-CO" sz="1600" i="1">
              <a:gradFill flip="none" rotWithShape="1"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16200000" scaled="1"/>
                <a:tileRect/>
              </a:gra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"El peor año económico</a:t>
          </a:r>
        </a:p>
        <a:p>
          <a:r>
            <a:rPr lang="es-CO" sz="1600" i="1">
              <a:gradFill flip="none" rotWithShape="1"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16200000" scaled="1"/>
                <a:tileRect/>
              </a:gra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 de Colombia en una década"</a:t>
          </a:r>
        </a:p>
      </xdr:txBody>
    </xdr:sp>
    <xdr:clientData/>
  </xdr:twoCellAnchor>
  <xdr:twoCellAnchor>
    <xdr:from>
      <xdr:col>0</xdr:col>
      <xdr:colOff>0</xdr:colOff>
      <xdr:row>47</xdr:row>
      <xdr:rowOff>119062</xdr:rowOff>
    </xdr:from>
    <xdr:to>
      <xdr:col>17</xdr:col>
      <xdr:colOff>730829</xdr:colOff>
      <xdr:row>75</xdr:row>
      <xdr:rowOff>119062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07235476-C5AB-4BFA-981F-2DC87B8A7D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283360</xdr:colOff>
      <xdr:row>38</xdr:row>
      <xdr:rowOff>83160</xdr:rowOff>
    </xdr:from>
    <xdr:to>
      <xdr:col>12</xdr:col>
      <xdr:colOff>0</xdr:colOff>
      <xdr:row>48</xdr:row>
      <xdr:rowOff>114300</xdr:rowOff>
    </xdr:to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F5910B91-7ECB-484B-B8B6-D37A55DDB954}"/>
            </a:ext>
          </a:extLst>
        </xdr:cNvPr>
        <xdr:cNvSpPr txBox="1"/>
      </xdr:nvSpPr>
      <xdr:spPr>
        <a:xfrm>
          <a:off x="4667661" y="7409006"/>
          <a:ext cx="3498626" cy="18380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br>
            <a:rPr lang="es-CO" sz="2800" baseline="0">
              <a:ln>
                <a:noFill/>
              </a:ln>
              <a:solidFill>
                <a:srgbClr val="120D6D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60000" endA="900" endPos="58000" dir="5400000" sy="-100000" algn="bl" rotWithShape="0"/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</a:br>
          <a:r>
            <a:rPr lang="es-CO" sz="4000" baseline="0">
              <a:ln>
                <a:noFill/>
              </a:ln>
              <a:solidFill>
                <a:srgbClr val="120D6D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60000" endA="900" endPos="58000" dir="5400000" sy="-100000" algn="bl" rotWithShape="0"/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Economia :</a:t>
          </a:r>
        </a:p>
        <a:p>
          <a:r>
            <a:rPr lang="es-CO" sz="4000" baseline="0">
              <a:ln>
                <a:noFill/>
              </a:ln>
              <a:solidFill>
                <a:srgbClr val="120D6D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60000" endA="900" endPos="58000" dir="5400000" sy="-100000" algn="bl" rotWithShape="0"/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Post-Pandemia </a:t>
          </a:r>
        </a:p>
        <a:p>
          <a:endParaRPr lang="es-CO" sz="2800">
            <a:ln>
              <a:noFill/>
            </a:ln>
            <a:solidFill>
              <a:srgbClr val="120D6D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  <a:reflection blurRad="6350" stA="60000" endA="900" endPos="58000" dir="5400000" sy="-100000" algn="bl" rotWithShape="0"/>
            </a:effectLst>
            <a:latin typeface="Calibri bold" panose="020F0702030404030204" pitchFamily="34" charset="0"/>
            <a:ea typeface="Calibri bold" panose="020F0702030404030204" pitchFamily="34" charset="0"/>
            <a:cs typeface="Calibri bold" panose="020F0702030404030204" pitchFamily="34" charset="0"/>
          </a:endParaRPr>
        </a:p>
      </xdr:txBody>
    </xdr:sp>
    <xdr:clientData/>
  </xdr:twoCellAnchor>
  <xdr:twoCellAnchor>
    <xdr:from>
      <xdr:col>15</xdr:col>
      <xdr:colOff>530370</xdr:colOff>
      <xdr:row>71</xdr:row>
      <xdr:rowOff>98959</xdr:rowOff>
    </xdr:from>
    <xdr:to>
      <xdr:col>17</xdr:col>
      <xdr:colOff>584799</xdr:colOff>
      <xdr:row>79</xdr:row>
      <xdr:rowOff>138545</xdr:rowOff>
    </xdr:to>
    <xdr:sp macro="" textlink="">
      <xdr:nvSpPr>
        <xdr:cNvPr id="46" name="Rectángulo: esquinas redondeadas 45">
          <a:extLst>
            <a:ext uri="{FF2B5EF4-FFF2-40B4-BE49-F238E27FC236}">
              <a16:creationId xmlns:a16="http://schemas.microsoft.com/office/drawing/2014/main" id="{FE3A9253-87DC-7520-C113-2F482936268E}"/>
            </a:ext>
          </a:extLst>
        </xdr:cNvPr>
        <xdr:cNvSpPr/>
      </xdr:nvSpPr>
      <xdr:spPr>
        <a:xfrm>
          <a:off x="10965848" y="13742121"/>
          <a:ext cx="1567223" cy="160840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600">
              <a:gradFill flip="none" rotWithShape="1">
                <a:gsLst>
                  <a:gs pos="0">
                    <a:srgbClr val="120D6D">
                      <a:shade val="30000"/>
                      <a:satMod val="115000"/>
                    </a:srgbClr>
                  </a:gs>
                  <a:gs pos="50000">
                    <a:srgbClr val="120D6D">
                      <a:shade val="67500"/>
                      <a:satMod val="115000"/>
                    </a:srgbClr>
                  </a:gs>
                  <a:gs pos="100000">
                    <a:srgbClr val="120D6D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60000" endA="900" endPos="58000" dir="5400000" sy="-100000" algn="bl" rotWithShape="0"/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2024 📊</a:t>
          </a:r>
        </a:p>
        <a:p>
          <a:pPr algn="l"/>
          <a:endParaRPr lang="es-CO" sz="1600">
            <a:gradFill flip="none" rotWithShape="1">
              <a:gsLst>
                <a:gs pos="0">
                  <a:srgbClr val="120D6D">
                    <a:shade val="30000"/>
                    <a:satMod val="115000"/>
                  </a:srgbClr>
                </a:gs>
                <a:gs pos="50000">
                  <a:srgbClr val="120D6D">
                    <a:shade val="67500"/>
                    <a:satMod val="115000"/>
                  </a:srgbClr>
                </a:gs>
                <a:gs pos="100000">
                  <a:srgbClr val="120D6D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  <a:reflection blurRad="6350" stA="60000" endA="900" endPos="58000" dir="5400000" sy="-100000" algn="bl" rotWithShape="0"/>
            </a:effectLst>
            <a:latin typeface="Calibri bold" panose="020F0702030404030204" pitchFamily="34" charset="0"/>
            <a:ea typeface="Calibri bold" panose="020F0702030404030204" pitchFamily="34" charset="0"/>
            <a:cs typeface="Calibri bold" panose="020F0702030404030204" pitchFamily="34" charset="0"/>
          </a:endParaRPr>
        </a:p>
        <a:p>
          <a:pPr algn="l"/>
          <a:r>
            <a:rPr lang="es-CO" sz="1600">
              <a:gradFill flip="none" rotWithShape="1">
                <a:gsLst>
                  <a:gs pos="0">
                    <a:srgbClr val="120D6D">
                      <a:shade val="30000"/>
                      <a:satMod val="115000"/>
                    </a:srgbClr>
                  </a:gs>
                  <a:gs pos="50000">
                    <a:srgbClr val="120D6D">
                      <a:shade val="67500"/>
                      <a:satMod val="115000"/>
                    </a:srgbClr>
                  </a:gs>
                  <a:gs pos="100000">
                    <a:srgbClr val="120D6D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60000" endA="900" endPos="58000" dir="5400000" sy="-100000" algn="bl" rotWithShape="0"/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+2.36%</a:t>
          </a:r>
        </a:p>
        <a:p>
          <a:pPr algn="l"/>
          <a:endParaRPr lang="es-CO" sz="1600">
            <a:gradFill flip="none" rotWithShape="1">
              <a:gsLst>
                <a:gs pos="0">
                  <a:srgbClr val="120D6D">
                    <a:shade val="30000"/>
                    <a:satMod val="115000"/>
                  </a:srgbClr>
                </a:gs>
                <a:gs pos="50000">
                  <a:srgbClr val="120D6D">
                    <a:shade val="67500"/>
                    <a:satMod val="115000"/>
                  </a:srgbClr>
                </a:gs>
                <a:gs pos="100000">
                  <a:srgbClr val="120D6D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  <a:reflection blurRad="6350" stA="60000" endA="900" endPos="58000" dir="5400000" sy="-100000" algn="bl" rotWithShape="0"/>
            </a:effectLst>
            <a:latin typeface="Calibri bold" panose="020F0702030404030204" pitchFamily="34" charset="0"/>
            <a:ea typeface="Calibri bold" panose="020F0702030404030204" pitchFamily="34" charset="0"/>
            <a:cs typeface="Calibri bold" panose="020F0702030404030204" pitchFamily="34" charset="0"/>
          </a:endParaRPr>
        </a:p>
        <a:p>
          <a:pPr algn="l"/>
          <a:r>
            <a:rPr lang="es-CO" sz="1600">
              <a:gradFill flip="none" rotWithShape="1">
                <a:gsLst>
                  <a:gs pos="0">
                    <a:srgbClr val="120D6D">
                      <a:shade val="30000"/>
                      <a:satMod val="115000"/>
                    </a:srgbClr>
                  </a:gs>
                  <a:gs pos="50000">
                    <a:srgbClr val="120D6D">
                      <a:shade val="67500"/>
                      <a:satMod val="115000"/>
                    </a:srgbClr>
                  </a:gs>
                  <a:gs pos="100000">
                    <a:srgbClr val="120D6D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60000" endA="900" endPos="58000" dir="5400000" sy="-100000" algn="bl" rotWithShape="0"/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Estabilización</a:t>
          </a:r>
        </a:p>
      </xdr:txBody>
    </xdr:sp>
    <xdr:clientData/>
  </xdr:twoCellAnchor>
  <xdr:twoCellAnchor>
    <xdr:from>
      <xdr:col>7</xdr:col>
      <xdr:colOff>70757</xdr:colOff>
      <xdr:row>70</xdr:row>
      <xdr:rowOff>70757</xdr:rowOff>
    </xdr:from>
    <xdr:to>
      <xdr:col>9</xdr:col>
      <xdr:colOff>125186</xdr:colOff>
      <xdr:row>78</xdr:row>
      <xdr:rowOff>152401</xdr:rowOff>
    </xdr:to>
    <xdr:sp macro="" textlink="">
      <xdr:nvSpPr>
        <xdr:cNvPr id="47" name="Rectángulo: esquinas redondeadas 46">
          <a:extLst>
            <a:ext uri="{FF2B5EF4-FFF2-40B4-BE49-F238E27FC236}">
              <a16:creationId xmlns:a16="http://schemas.microsoft.com/office/drawing/2014/main" id="{C37CA4EF-F9EF-421B-9028-892A71139BB5}"/>
            </a:ext>
          </a:extLst>
        </xdr:cNvPr>
        <xdr:cNvSpPr/>
      </xdr:nvSpPr>
      <xdr:spPr>
        <a:xfrm>
          <a:off x="4493078" y="13024757"/>
          <a:ext cx="1578429" cy="160564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600">
            <a:gradFill flip="none" rotWithShape="1">
              <a:gsLst>
                <a:gs pos="0">
                  <a:srgbClr val="120D6D">
                    <a:shade val="30000"/>
                    <a:satMod val="115000"/>
                  </a:srgbClr>
                </a:gs>
                <a:gs pos="50000">
                  <a:srgbClr val="120D6D">
                    <a:shade val="67500"/>
                    <a:satMod val="115000"/>
                  </a:srgbClr>
                </a:gs>
                <a:gs pos="100000">
                  <a:srgbClr val="120D6D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  <a:reflection blurRad="6350" stA="60000" endA="900" endPos="58000" dir="5400000" sy="-100000" algn="bl" rotWithShape="0"/>
            </a:effectLst>
            <a:latin typeface="Calibri bold" panose="020F0702030404030204" pitchFamily="34" charset="0"/>
            <a:ea typeface="Calibri bold" panose="020F0702030404030204" pitchFamily="34" charset="0"/>
            <a:cs typeface="Calibri bold" panose="020F0702030404030204" pitchFamily="34" charset="0"/>
          </a:endParaRPr>
        </a:p>
      </xdr:txBody>
    </xdr:sp>
    <xdr:clientData/>
  </xdr:twoCellAnchor>
  <xdr:twoCellAnchor>
    <xdr:from>
      <xdr:col>8</xdr:col>
      <xdr:colOff>140710</xdr:colOff>
      <xdr:row>72</xdr:row>
      <xdr:rowOff>70820</xdr:rowOff>
    </xdr:from>
    <xdr:to>
      <xdr:col>15</xdr:col>
      <xdr:colOff>209983</xdr:colOff>
      <xdr:row>79</xdr:row>
      <xdr:rowOff>43605</xdr:rowOff>
    </xdr:to>
    <xdr:sp macro="" textlink="">
      <xdr:nvSpPr>
        <xdr:cNvPr id="4108" name="Text Box 12">
          <a:extLst>
            <a:ext uri="{FF2B5EF4-FFF2-40B4-BE49-F238E27FC236}">
              <a16:creationId xmlns:a16="http://schemas.microsoft.com/office/drawing/2014/main" id="{026A4957-50C4-C62A-84B8-30E0466867F6}"/>
            </a:ext>
          </a:extLst>
        </xdr:cNvPr>
        <xdr:cNvSpPr txBox="1">
          <a:spLocks noChangeArrowheads="1"/>
        </xdr:cNvSpPr>
      </xdr:nvSpPr>
      <xdr:spPr bwMode="auto">
        <a:xfrm>
          <a:off x="5281409" y="13910085"/>
          <a:ext cx="5364052" cy="13455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 rtl="0">
            <a:defRPr sz="1000"/>
          </a:pPr>
          <a:r>
            <a:rPr lang="es-CO" sz="1600">
              <a:solidFill>
                <a:srgbClr val="DB870B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60000" endA="900" endPos="58000" dir="5400000" sy="-100000" algn="bl" rotWithShape="0"/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2022-23⚠️  </a:t>
          </a:r>
        </a:p>
        <a:p>
          <a:pPr marL="0" indent="0" algn="ctr" rtl="0">
            <a:defRPr sz="1000"/>
          </a:pPr>
          <a:r>
            <a:rPr lang="es-CO" sz="1600">
              <a:solidFill>
                <a:srgbClr val="DB870B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60000" endA="900" endPos="58000" dir="5400000" sy="-100000" algn="bl" rotWithShape="0"/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            </a:t>
          </a:r>
        </a:p>
        <a:p>
          <a:pPr marL="0" indent="0" algn="ctr" rtl="0">
            <a:defRPr sz="1000"/>
          </a:pPr>
          <a:r>
            <a:rPr lang="es-CO" sz="1600">
              <a:solidFill>
                <a:srgbClr val="DB870B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60000" endA="900" endPos="58000" dir="5400000" sy="-100000" algn="bl" rotWithShape="0"/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 Inflación al techo       </a:t>
          </a:r>
        </a:p>
      </xdr:txBody>
    </xdr:sp>
    <xdr:clientData/>
  </xdr:twoCellAnchor>
  <xdr:twoCellAnchor>
    <xdr:from>
      <xdr:col>6</xdr:col>
      <xdr:colOff>149306</xdr:colOff>
      <xdr:row>71</xdr:row>
      <xdr:rowOff>122710</xdr:rowOff>
    </xdr:from>
    <xdr:to>
      <xdr:col>8</xdr:col>
      <xdr:colOff>119373</xdr:colOff>
      <xdr:row>80</xdr:row>
      <xdr:rowOff>69271</xdr:rowOff>
    </xdr:to>
    <xdr:sp macro="" textlink="">
      <xdr:nvSpPr>
        <xdr:cNvPr id="48" name="Text Box 12">
          <a:extLst>
            <a:ext uri="{FF2B5EF4-FFF2-40B4-BE49-F238E27FC236}">
              <a16:creationId xmlns:a16="http://schemas.microsoft.com/office/drawing/2014/main" id="{759CF5AE-3118-4D6A-AFB6-74CDBE283BD5}"/>
            </a:ext>
          </a:extLst>
        </xdr:cNvPr>
        <xdr:cNvSpPr txBox="1">
          <a:spLocks noChangeArrowheads="1"/>
        </xdr:cNvSpPr>
      </xdr:nvSpPr>
      <xdr:spPr bwMode="auto">
        <a:xfrm>
          <a:off x="3777210" y="13765872"/>
          <a:ext cx="1482862" cy="171148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 rtl="0">
            <a:defRPr sz="1000"/>
          </a:pPr>
          <a:r>
            <a:rPr lang="es-CO" sz="1600">
              <a:solidFill>
                <a:srgbClr val="003A03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60000" endA="900" endPos="58000" dir="5400000" sy="-100000" algn="bl" rotWithShape="0"/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        2021 📈       </a:t>
          </a:r>
          <a:br>
            <a:rPr lang="es-CO" sz="1600">
              <a:solidFill>
                <a:srgbClr val="003A03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60000" endA="900" endPos="58000" dir="5400000" sy="-100000" algn="bl" rotWithShape="0"/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</a:br>
          <a:br>
            <a:rPr lang="es-CO" sz="1600">
              <a:solidFill>
                <a:srgbClr val="003A03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60000" endA="900" endPos="58000" dir="5400000" sy="-100000" algn="bl" rotWithShape="0"/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</a:br>
          <a:r>
            <a:rPr lang="es-CO" sz="1600">
              <a:solidFill>
                <a:srgbClr val="003A03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60000" endA="900" endPos="58000" dir="5400000" sy="-100000" algn="bl" rotWithShape="0"/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      +11.08%      </a:t>
          </a:r>
          <a:br>
            <a:rPr lang="es-CO" sz="1600">
              <a:solidFill>
                <a:srgbClr val="003A03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60000" endA="900" endPos="58000" dir="5400000" sy="-100000" algn="bl" rotWithShape="0"/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</a:br>
          <a:br>
            <a:rPr lang="es-CO" sz="1600">
              <a:solidFill>
                <a:srgbClr val="003A03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60000" endA="900" endPos="58000" dir="5400000" sy="-100000" algn="bl" rotWithShape="0"/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</a:br>
          <a:r>
            <a:rPr lang="es-CO" sz="1600">
              <a:solidFill>
                <a:srgbClr val="003A03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60000" endA="900" endPos="58000" dir="5400000" sy="-100000" algn="bl" rotWithShape="0"/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       Rebote</a:t>
          </a:r>
        </a:p>
      </xdr:txBody>
    </xdr:sp>
    <xdr:clientData/>
  </xdr:twoCellAnchor>
  <xdr:twoCellAnchor>
    <xdr:from>
      <xdr:col>3</xdr:col>
      <xdr:colOff>181099</xdr:colOff>
      <xdr:row>71</xdr:row>
      <xdr:rowOff>134091</xdr:rowOff>
    </xdr:from>
    <xdr:to>
      <xdr:col>5</xdr:col>
      <xdr:colOff>257301</xdr:colOff>
      <xdr:row>79</xdr:row>
      <xdr:rowOff>158583</xdr:rowOff>
    </xdr:to>
    <xdr:sp macro="" textlink="">
      <xdr:nvSpPr>
        <xdr:cNvPr id="49" name="Text Box 12">
          <a:extLst>
            <a:ext uri="{FF2B5EF4-FFF2-40B4-BE49-F238E27FC236}">
              <a16:creationId xmlns:a16="http://schemas.microsoft.com/office/drawing/2014/main" id="{F73BD1FA-F4FF-43C9-8F84-65FEBB29F7D6}"/>
            </a:ext>
          </a:extLst>
        </xdr:cNvPr>
        <xdr:cNvSpPr txBox="1">
          <a:spLocks noChangeArrowheads="1"/>
        </xdr:cNvSpPr>
      </xdr:nvSpPr>
      <xdr:spPr bwMode="auto">
        <a:xfrm>
          <a:off x="1539812" y="13777253"/>
          <a:ext cx="1588996" cy="15933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 rtl="0">
            <a:defRPr sz="1000"/>
          </a:pPr>
          <a:r>
            <a:rPr lang="es-CO" sz="1600">
              <a:solidFill>
                <a:srgbClr val="003A03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60000" endA="900" endPos="58000" dir="5400000" sy="-100000" algn="bl" rotWithShape="0"/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        </a:t>
          </a:r>
          <a:r>
            <a:rPr lang="es-CO" sz="1600">
              <a:solidFill>
                <a:srgbClr val="48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60000" endA="900" endPos="58000" dir="5400000" sy="-100000" algn="bl" rotWithShape="0"/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2020 📉 </a:t>
          </a:r>
        </a:p>
        <a:p>
          <a:pPr marL="0" indent="0" algn="l" rtl="0">
            <a:defRPr sz="1000"/>
          </a:pPr>
          <a:r>
            <a:rPr lang="es-CO" sz="1600">
              <a:solidFill>
                <a:srgbClr val="48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60000" endA="900" endPos="58000" dir="5400000" sy="-100000" algn="bl" rotWithShape="0"/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           </a:t>
          </a:r>
        </a:p>
        <a:p>
          <a:pPr marL="0" indent="0" algn="l" rtl="0">
            <a:defRPr sz="1000"/>
          </a:pPr>
          <a:r>
            <a:rPr lang="es-CO" sz="1600">
              <a:solidFill>
                <a:srgbClr val="48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60000" endA="900" endPos="58000" dir="5400000" sy="-100000" algn="bl" rotWithShape="0"/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       -3.31%       </a:t>
          </a:r>
          <a:br>
            <a:rPr lang="es-CO" sz="1600">
              <a:solidFill>
                <a:srgbClr val="48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60000" endA="900" endPos="58000" dir="5400000" sy="-100000" algn="bl" rotWithShape="0"/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</a:br>
          <a:endParaRPr lang="es-CO" sz="1600">
            <a:solidFill>
              <a:srgbClr val="480000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  <a:reflection blurRad="6350" stA="60000" endA="900" endPos="58000" dir="5400000" sy="-100000" algn="bl" rotWithShape="0"/>
            </a:effectLst>
            <a:latin typeface="Calibri bold" panose="020F0702030404030204" pitchFamily="34" charset="0"/>
            <a:ea typeface="Calibri bold" panose="020F0702030404030204" pitchFamily="34" charset="0"/>
            <a:cs typeface="Calibri bold" panose="020F0702030404030204" pitchFamily="34" charset="0"/>
          </a:endParaRPr>
        </a:p>
        <a:p>
          <a:pPr marL="0" indent="0" algn="l" rtl="0">
            <a:defRPr sz="1000"/>
          </a:pPr>
          <a:r>
            <a:rPr lang="es-CO" sz="1600">
              <a:solidFill>
                <a:srgbClr val="48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60000" endA="900" endPos="58000" dir="5400000" sy="-100000" algn="bl" rotWithShape="0"/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       COVID        </a:t>
          </a:r>
        </a:p>
      </xdr:txBody>
    </xdr:sp>
    <xdr:clientData/>
  </xdr:twoCellAnchor>
  <xdr:twoCellAnchor>
    <xdr:from>
      <xdr:col>29</xdr:col>
      <xdr:colOff>500062</xdr:colOff>
      <xdr:row>42</xdr:row>
      <xdr:rowOff>9522</xdr:rowOff>
    </xdr:from>
    <xdr:to>
      <xdr:col>34</xdr:col>
      <xdr:colOff>347662</xdr:colOff>
      <xdr:row>61</xdr:row>
      <xdr:rowOff>47622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353D9C8-F8BE-4D2B-BAF9-401BAF880154}"/>
            </a:ext>
          </a:extLst>
        </xdr:cNvPr>
        <xdr:cNvSpPr txBox="1"/>
      </xdr:nvSpPr>
      <xdr:spPr>
        <a:xfrm>
          <a:off x="21525099" y="7965698"/>
          <a:ext cx="3629585" cy="3764056"/>
        </a:xfrm>
        <a:prstGeom prst="rect">
          <a:avLst/>
        </a:prstGeom>
        <a:solidFill>
          <a:srgbClr val="0D0943"/>
        </a:solidFill>
        <a:ln w="9525" cmpd="sng">
          <a:noFill/>
        </a:ln>
        <a:effectLst>
          <a:glow rad="368300">
            <a:srgbClr val="0D0943">
              <a:alpha val="40000"/>
            </a:srgbClr>
          </a:glow>
          <a:outerShdw blurRad="50800" dist="38100" dir="5400000" algn="t" rotWithShape="0">
            <a:prstClr val="black">
              <a:alpha val="40000"/>
            </a:prstClr>
          </a:outerShdw>
          <a:softEdge rad="50800"/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400" i="0">
              <a:gradFill flip="none" rotWithShape="1"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16200000" scaled="1"/>
                <a:tileRect/>
              </a:gra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💡 EL EFECTO DOMINÓ DE LA PANDEMIA </a:t>
          </a:r>
          <a:br>
            <a:rPr lang="es-CO" sz="1400" i="0">
              <a:gradFill flip="none" rotWithShape="1"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16200000" scaled="1"/>
                <a:tileRect/>
              </a:gra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</a:br>
          <a:r>
            <a:rPr lang="es-CO" sz="1400" i="0">
              <a:gradFill flip="none" rotWithShape="1"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16200000" scaled="1"/>
                <a:tileRect/>
              </a:gra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2021: El</a:t>
          </a:r>
          <a:r>
            <a:rPr lang="es-CO" sz="1400" i="0" baseline="0">
              <a:gradFill flip="none" rotWithShape="1"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16200000" scaled="1"/>
                <a:tileRect/>
              </a:gra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 año rebote </a:t>
          </a:r>
          <a:br>
            <a:rPr lang="es-CO" sz="1400" i="0" baseline="0">
              <a:gradFill flip="none" rotWithShape="1"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16200000" scaled="1"/>
                <a:tileRect/>
              </a:gra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</a:br>
          <a:r>
            <a:rPr lang="es-CO" sz="1400" i="0" baseline="0">
              <a:gradFill flip="none" rotWithShape="1"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16200000" scaled="1"/>
                <a:tileRect/>
              </a:gra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Causa y efecto</a:t>
          </a:r>
          <a:endParaRPr lang="es-CO" sz="1400" i="0"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16200000" scaled="1"/>
              <a:tileRect/>
            </a:gra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Calibri bold" panose="020F0702030404030204" pitchFamily="34" charset="0"/>
            <a:ea typeface="Calibri bold" panose="020F0702030404030204" pitchFamily="34" charset="0"/>
            <a:cs typeface="Calibri bold" panose="020F0702030404030204" pitchFamily="34" charset="0"/>
          </a:endParaRPr>
        </a:p>
        <a:p>
          <a:pPr algn="ctr"/>
          <a:r>
            <a:rPr lang="es-CO" sz="1400" i="1">
              <a:gradFill flip="none" rotWithShape="1"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16200000" scaled="1"/>
                <a:tileRect/>
              </a:gra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____________________________</a:t>
          </a:r>
        </a:p>
        <a:p>
          <a:pPr algn="ctr"/>
          <a:endParaRPr lang="es-CO" sz="1400" i="1"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16200000" scaled="1"/>
              <a:tileRect/>
            </a:gra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Calibri bold" panose="020F0702030404030204" pitchFamily="34" charset="0"/>
            <a:ea typeface="Calibri bold" panose="020F0702030404030204" pitchFamily="34" charset="0"/>
            <a:cs typeface="Calibri bold" panose="020F0702030404030204" pitchFamily="34" charset="0"/>
          </a:endParaRPr>
        </a:p>
        <a:p>
          <a:pPr algn="ctr"/>
          <a:r>
            <a:rPr lang="es-CO" sz="1400" i="0">
              <a:gradFill flip="none" rotWithShape="1"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16200000" scaled="1"/>
                <a:tileRect/>
              </a:gra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El rebote histórico de 2021 (+11.08%)</a:t>
          </a:r>
        </a:p>
        <a:p>
          <a:pPr algn="ctr"/>
          <a:endParaRPr lang="es-CO" sz="1400" i="0"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16200000" scaled="1"/>
              <a:tileRect/>
            </a:gra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Calibri bold" panose="020F0702030404030204" pitchFamily="34" charset="0"/>
            <a:ea typeface="Calibri bold" panose="020F0702030404030204" pitchFamily="34" charset="0"/>
            <a:cs typeface="Calibri bold" panose="020F0702030404030204" pitchFamily="34" charset="0"/>
          </a:endParaRPr>
        </a:p>
        <a:p>
          <a:pPr algn="ctr"/>
          <a:r>
            <a:rPr lang="es-CO" sz="1400" i="0">
              <a:gradFill flip="none" rotWithShape="1"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16200000" scaled="1"/>
                <a:tileRect/>
              </a:gra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llegó con consecuencias: la inflación</a:t>
          </a:r>
        </a:p>
        <a:p>
          <a:pPr algn="ctr"/>
          <a:r>
            <a:rPr lang="es-CO" sz="1400" i="0">
              <a:gradFill flip="none" rotWithShape="1"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16200000" scaled="1"/>
                <a:tileRect/>
              </a:gra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escaló al 9.99% en 2022 y 10.33% en 2023.</a:t>
          </a:r>
        </a:p>
        <a:p>
          <a:pPr algn="ctr"/>
          <a:endParaRPr lang="es-CO" sz="1400" i="0"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16200000" scaled="1"/>
              <a:tileRect/>
            </a:gra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Calibri bold" panose="020F0702030404030204" pitchFamily="34" charset="0"/>
            <a:ea typeface="Calibri bold" panose="020F0702030404030204" pitchFamily="34" charset="0"/>
            <a:cs typeface="Calibri bold" panose="020F0702030404030204" pitchFamily="34" charset="0"/>
          </a:endParaRPr>
        </a:p>
        <a:p>
          <a:pPr algn="ctr"/>
          <a:r>
            <a:rPr lang="es-CO" sz="1400" i="0">
              <a:gradFill flip="none" rotWithShape="1"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16200000" scaled="1"/>
                <a:tileRect/>
              </a:gra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El Banco de la República respondió subiendo</a:t>
          </a:r>
        </a:p>
        <a:p>
          <a:pPr algn="ctr"/>
          <a:r>
            <a:rPr lang="es-CO" sz="1400" i="0">
              <a:gradFill flip="none" rotWithShape="1"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16200000" scaled="1"/>
                <a:tileRect/>
              </a:gra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tasas hasta estabilizar la economía en 2024.</a:t>
          </a:r>
        </a:p>
        <a:p>
          <a:pPr algn="ctr"/>
          <a:r>
            <a:rPr lang="es-CO" sz="1400" i="0">
              <a:gradFill flip="none" rotWithShape="1"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16200000" scaled="1"/>
                <a:tileRect/>
              </a:gra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__________________________</a:t>
          </a:r>
        </a:p>
        <a:p>
          <a:pPr algn="ctr"/>
          <a:endParaRPr lang="es-CO" sz="1400" i="0"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16200000" scaled="1"/>
              <a:tileRect/>
            </a:gra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Calibri bold" panose="020F0702030404030204" pitchFamily="34" charset="0"/>
            <a:ea typeface="Calibri bold" panose="020F0702030404030204" pitchFamily="34" charset="0"/>
            <a:cs typeface="Calibri bold" panose="020F0702030404030204" pitchFamily="34" charset="0"/>
          </a:endParaRPr>
        </a:p>
        <a:p>
          <a:pPr algn="ctr"/>
          <a:r>
            <a:rPr lang="es-CO" sz="1400" i="1">
              <a:solidFill>
                <a:srgbClr val="D06812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"No hay crecimiento gratuito"</a:t>
          </a:r>
        </a:p>
        <a:p>
          <a:pPr algn="ctr"/>
          <a:endParaRPr lang="es-CO" sz="1200" i="1">
            <a:solidFill>
              <a:srgbClr val="D06812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Calibri bold" panose="020F0702030404030204" pitchFamily="34" charset="0"/>
            <a:ea typeface="Calibri bold" panose="020F0702030404030204" pitchFamily="34" charset="0"/>
            <a:cs typeface="Calibri bold" panose="020F0702030404030204" pitchFamily="34" charset="0"/>
          </a:endParaRPr>
        </a:p>
      </xdr:txBody>
    </xdr:sp>
    <xdr:clientData/>
  </xdr:twoCellAnchor>
  <xdr:twoCellAnchor>
    <xdr:from>
      <xdr:col>28</xdr:col>
      <xdr:colOff>733425</xdr:colOff>
      <xdr:row>66</xdr:row>
      <xdr:rowOff>61913</xdr:rowOff>
    </xdr:from>
    <xdr:to>
      <xdr:col>30</xdr:col>
      <xdr:colOff>47624</xdr:colOff>
      <xdr:row>69</xdr:row>
      <xdr:rowOff>23812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BB5C3B2B-EE7D-D786-B24A-F45837A82100}"/>
            </a:ext>
          </a:extLst>
        </xdr:cNvPr>
        <xdr:cNvSpPr txBox="1"/>
      </xdr:nvSpPr>
      <xdr:spPr>
        <a:xfrm>
          <a:off x="21140738" y="12372976"/>
          <a:ext cx="838199" cy="5333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2000" b="0" i="0" u="none" strike="noStrike">
              <a:solidFill>
                <a:srgbClr val="003A03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60000" endA="900" endPos="58000" dir="5400000" sy="-100000" algn="bl" rotWithShape="0"/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3.64%</a:t>
          </a:r>
          <a:r>
            <a:rPr lang="es-CO" sz="2000">
              <a:solidFill>
                <a:srgbClr val="003A03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60000" endA="900" endPos="58000" dir="5400000" sy="-100000" algn="bl" rotWithShape="0"/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 </a:t>
          </a:r>
        </a:p>
      </xdr:txBody>
    </xdr:sp>
    <xdr:clientData/>
  </xdr:twoCellAnchor>
  <xdr:twoCellAnchor>
    <xdr:from>
      <xdr:col>24</xdr:col>
      <xdr:colOff>738187</xdr:colOff>
      <xdr:row>62</xdr:row>
      <xdr:rowOff>138112</xdr:rowOff>
    </xdr:from>
    <xdr:to>
      <xdr:col>34</xdr:col>
      <xdr:colOff>619125</xdr:colOff>
      <xdr:row>65</xdr:row>
      <xdr:rowOff>166687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F38775A0-4EA2-4D12-B149-3240DAAA9339}"/>
            </a:ext>
          </a:extLst>
        </xdr:cNvPr>
        <xdr:cNvSpPr txBox="1"/>
      </xdr:nvSpPr>
      <xdr:spPr>
        <a:xfrm>
          <a:off x="18097500" y="11687175"/>
          <a:ext cx="7500938" cy="600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2800" b="0" i="0" u="none" strike="noStrike">
              <a:solidFill>
                <a:srgbClr val="003A03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60000" endA="900" endPos="58000" dir="5400000" sy="-100000" algn="bl" rotWithShape="0"/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Crecimiento</a:t>
          </a:r>
          <a:r>
            <a:rPr lang="es-CO" sz="2800" b="0" i="0" u="none" strike="noStrike" baseline="0">
              <a:solidFill>
                <a:srgbClr val="003A03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60000" endA="900" endPos="58000" dir="5400000" sy="-100000" algn="bl" rotWithShape="0"/>
              </a:effectLst>
              <a:latin typeface="Calibri Bold" panose="020F0702030404030204" pitchFamily="34" charset="0"/>
              <a:ea typeface="Calibri Bold" panose="020F0702030404030204" pitchFamily="34" charset="0"/>
              <a:cs typeface="Calibri Bold" panose="020F0702030404030204" pitchFamily="34" charset="0"/>
            </a:rPr>
            <a:t> Promedio PIB Anual 2010 - 2024</a:t>
          </a:r>
          <a:endParaRPr lang="es-CO" sz="2800">
            <a:solidFill>
              <a:srgbClr val="003A03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  <a:reflection blurRad="6350" stA="60000" endA="900" endPos="58000" dir="5400000" sy="-100000" algn="bl" rotWithShape="0"/>
            </a:effectLst>
            <a:latin typeface="Calibri Bold" panose="020F0702030404030204" pitchFamily="34" charset="0"/>
            <a:ea typeface="Calibri Bold" panose="020F0702030404030204" pitchFamily="34" charset="0"/>
            <a:cs typeface="Calibri Bold" panose="020F0702030404030204" pitchFamily="34" charset="0"/>
          </a:endParaRPr>
        </a:p>
      </xdr:txBody>
    </xdr:sp>
    <xdr:clientData/>
  </xdr:twoCellAnchor>
  <xdr:twoCellAnchor>
    <xdr:from>
      <xdr:col>10</xdr:col>
      <xdr:colOff>381000</xdr:colOff>
      <xdr:row>84</xdr:row>
      <xdr:rowOff>76199</xdr:rowOff>
    </xdr:from>
    <xdr:to>
      <xdr:col>24</xdr:col>
      <xdr:colOff>571500</xdr:colOff>
      <xdr:row>87</xdr:row>
      <xdr:rowOff>122464</xdr:rowOff>
    </xdr:to>
    <xdr:sp macro="" textlink="">
      <xdr:nvSpPr>
        <xdr:cNvPr id="10" name="Fuente">
          <a:extLst>
            <a:ext uri="{FF2B5EF4-FFF2-40B4-BE49-F238E27FC236}">
              <a16:creationId xmlns:a16="http://schemas.microsoft.com/office/drawing/2014/main" id="{6D643DC0-E3FE-F132-7974-FC0F87EEB1FA}"/>
            </a:ext>
          </a:extLst>
        </xdr:cNvPr>
        <xdr:cNvSpPr txBox="1"/>
      </xdr:nvSpPr>
      <xdr:spPr>
        <a:xfrm>
          <a:off x="7089321" y="15819663"/>
          <a:ext cx="10858500" cy="6177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400">
              <a:gradFill flip="none" rotWithShape="1">
                <a:gsLst>
                  <a:gs pos="0">
                    <a:schemeClr val="tx1">
                      <a:lumMod val="65000"/>
                      <a:lumOff val="35000"/>
                      <a:shade val="30000"/>
                      <a:satMod val="115000"/>
                    </a:schemeClr>
                  </a:gs>
                  <a:gs pos="50000">
                    <a:schemeClr val="tx1">
                      <a:lumMod val="65000"/>
                      <a:lumOff val="35000"/>
                      <a:shade val="67500"/>
                      <a:satMod val="115000"/>
                    </a:schemeClr>
                  </a:gs>
                  <a:gs pos="100000">
                    <a:schemeClr val="tx1">
                      <a:lumMod val="65000"/>
                      <a:lumOff val="35000"/>
                      <a:shade val="100000"/>
                      <a:satMod val="115000"/>
                    </a:schemeClr>
                  </a:gs>
                </a:gsLst>
                <a:lin ang="16200000" scaled="1"/>
                <a:tileRect/>
              </a:gra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  <a:reflection blurRad="6350" stA="60000" endA="900" endPos="58000" dir="5400000" sy="-100000" algn="bl" rotWithShape="0"/>
              </a:effectLst>
              <a:latin typeface="Calibri italic" panose="020F05020202040A0204" pitchFamily="34" charset="0"/>
              <a:ea typeface="Calibri italic" panose="020F05020202040A0204" pitchFamily="34" charset="0"/>
              <a:cs typeface="Calibri italic" panose="020F05020202040A0204" pitchFamily="34" charset="0"/>
            </a:rPr>
            <a:t>Fuente: DANE y Banco de la República de Colombia | Datos correspondientes al último trimestre de cada año | Elaborado por Juan Diego Barros Sierra | Marzo 2026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91.955061458335" createdVersion="8" refreshedVersion="8" minRefreshableVersion="3" recordCount="21" xr:uid="{E3773866-8949-49C1-B197-68E5D1FF37AD}">
  <cacheSource type="worksheet">
    <worksheetSource name="Cuadro_1"/>
  </cacheSource>
  <cacheFields count="7">
    <cacheField name="Clasificación Cuentas Nacionales" numFmtId="0">
      <sharedItems/>
    </cacheField>
    <cacheField name="Concepto" numFmtId="0">
      <sharedItems/>
    </cacheField>
    <cacheField name="Año" numFmtId="0">
      <sharedItems containsSemiMixedTypes="0" containsString="0" containsNumber="1" containsInteger="1" minValue="2005" maxValue="2025" count="21"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PIB" numFmtId="0">
      <sharedItems containsSemiMixedTypes="0" containsString="0" containsNumber="1" minValue="121117.73043670836" maxValue="265414.85272003605" count="21">
        <n v="121117.73043670836"/>
        <n v="128839.68114415972"/>
        <n v="137488.51677684105"/>
        <n v="144602.69329964361"/>
        <n v="164292.74096873379"/>
        <n v="173063.550682998"/>
        <n v="184010.44028239194"/>
        <n v="188971.82480957385"/>
        <n v="200972.78843201874"/>
        <n v="208535.81920333469"/>
        <n v="212831.55285361854"/>
        <n v="217736.68285999072"/>
        <n v="220760.57309340095"/>
        <n v="227192.97591878168"/>
        <n v="234215.68877028709"/>
        <n v="226463.51215166118"/>
        <n v="251558.78909023802"/>
        <n v="257422.09738362732"/>
        <n v="259305.47430679397"/>
        <n v="265414.85272003605"/>
        <n v="242632.98343363692"/>
      </sharedItems>
    </cacheField>
    <cacheField name="Inflacion Subyacente" numFmtId="10">
      <sharedItems containsSemiMixedTypes="0" containsString="0" containsNumber="1" minValue="1.0343160947317465E-2" maxValue="0.1033467877564751"/>
    </cacheField>
    <cacheField name="inflacion" numFmtId="0">
      <sharedItems containsSemiMixedTypes="0" containsString="0" containsNumber="1" minValue="60.5" maxValue="145.69999999999999"/>
    </cacheField>
    <cacheField name="Tasa de variacion Del PIB" numFmtId="0">
      <sharedItems containsString="0" containsBlank="1" containsNumber="1" minValue="-8.5834945003736562E-2" maxValue="0.13616653479813645"/>
    </cacheField>
  </cacheFields>
  <extLst>
    <ext xmlns:x14="http://schemas.microsoft.com/office/spreadsheetml/2009/9/main" uri="{725AE2AE-9491-48be-B2B4-4EB974FC3084}">
      <x14:pivotCacheDefinition pivotCacheId="50433717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s v="B.1b"/>
    <s v="Producto Interno Bruto"/>
    <x v="0"/>
    <x v="0"/>
    <n v="4.0991735537190044E-2"/>
    <n v="60.5"/>
    <m/>
  </r>
  <r>
    <s v="B.1b"/>
    <s v="Producto Interno Bruto"/>
    <x v="1"/>
    <x v="1"/>
    <n v="4.6522705620831939E-2"/>
    <n v="62.98"/>
    <n v="6.375574145592644E-2"/>
  </r>
  <r>
    <s v="B.1b"/>
    <s v="Producto Interno Bruto"/>
    <x v="2"/>
    <x v="2"/>
    <n v="5.355788196024891E-2"/>
    <n v="65.91"/>
    <n v="6.7128663746102157E-2"/>
  </r>
  <r>
    <s v="B.1b"/>
    <s v="Producto Interno Bruto"/>
    <x v="3"/>
    <x v="3"/>
    <n v="3.0961981566820285E-2"/>
    <n v="69.44"/>
    <n v="5.1743786969130401E-2"/>
  </r>
  <r>
    <s v="B.1b"/>
    <s v="Producto Interno Bruto"/>
    <x v="4"/>
    <x v="4"/>
    <n v="3.0032127392093821E-2"/>
    <n v="71.59"/>
    <n v="0.13616653479813645"/>
  </r>
  <r>
    <s v="B.1b"/>
    <s v="Producto Interno Bruto"/>
    <x v="5"/>
    <x v="5"/>
    <n v="3.0032127392093821E-2"/>
    <n v="73.739999999999995"/>
    <n v="5.33852540443851E-2"/>
  </r>
  <r>
    <s v="B.1b"/>
    <s v="Producto Interno Bruto"/>
    <x v="6"/>
    <x v="6"/>
    <n v="3.3767290480065215E-2"/>
    <n v="76.23"/>
    <n v="6.325358260703573E-2"/>
  </r>
  <r>
    <s v="B.1b"/>
    <s v="Producto Interno Bruto"/>
    <x v="7"/>
    <x v="7"/>
    <n v="2.6761117670208501E-2"/>
    <n v="78.27"/>
    <n v="2.6962516472260667E-2"/>
  </r>
  <r>
    <s v="B.1b"/>
    <s v="Producto Interno Bruto"/>
    <x v="8"/>
    <x v="8"/>
    <n v="2.4658234317107564E-2"/>
    <n v="80.2"/>
    <n v="6.3506629279461269E-2"/>
  </r>
  <r>
    <s v="B.1b"/>
    <s v="Producto Interno Bruto"/>
    <x v="9"/>
    <x v="9"/>
    <n v="3.2793017456359097E-2"/>
    <n v="82.83"/>
    <n v="3.7632113433477166E-2"/>
  </r>
  <r>
    <s v="B.1b"/>
    <s v="Producto Interno Bruto"/>
    <x v="10"/>
    <x v="10"/>
    <n v="5.2517203911626398E-2"/>
    <n v="87.18"/>
    <n v="2.0599500204304233E-2"/>
  </r>
  <r>
    <s v="B.1b"/>
    <s v="Producto Interno Bruto"/>
    <x v="11"/>
    <x v="11"/>
    <n v="5.5173204863500747E-2"/>
    <n v="91.99"/>
    <n v="2.3047005674698084E-2"/>
  </r>
  <r>
    <s v="B.1b"/>
    <s v="Producto Interno Bruto"/>
    <x v="12"/>
    <x v="12"/>
    <n v="5.0222850309816325E-2"/>
    <n v="96.61"/>
    <n v="1.3887830905161103E-2"/>
  </r>
  <r>
    <s v="B.1b"/>
    <s v="Producto Interno Bruto"/>
    <x v="13"/>
    <x v="13"/>
    <n v="3.5089535244798631E-2"/>
    <n v="100"/>
    <n v="2.9137462071450848E-2"/>
  </r>
  <r>
    <s v="B.1b"/>
    <s v="Producto Interno Bruto"/>
    <x v="14"/>
    <x v="14"/>
    <n v="3.4499999999999975E-2"/>
    <n v="103.45"/>
    <n v="3.0910783324639146E-2"/>
  </r>
  <r>
    <s v="B.1b"/>
    <s v="Producto Interno Bruto"/>
    <x v="15"/>
    <x v="15"/>
    <n v="1.0343160947317465E-2"/>
    <n v="104.52"/>
    <n v="-3.3098451514189775E-2"/>
  </r>
  <r>
    <s v="B.1b"/>
    <s v="Producto Interno Bruto"/>
    <x v="16"/>
    <x v="16"/>
    <n v="3.4443168771526977E-2"/>
    <n v="108.12"/>
    <n v="0.11081377613613386"/>
  </r>
  <r>
    <s v="B.1b"/>
    <s v="Producto Interno Bruto"/>
    <x v="17"/>
    <x v="17"/>
    <n v="9.9889012208657091E-2"/>
    <n v="118.92"/>
    <n v="2.3307904743038232E-2"/>
  </r>
  <r>
    <s v="B.1b"/>
    <s v="Producto Interno Bruto"/>
    <x v="18"/>
    <x v="18"/>
    <n v="0.1033467877564751"/>
    <n v="131.21"/>
    <n v="7.3162985707475592E-3"/>
  </r>
  <r>
    <s v="B.1b"/>
    <s v="Producto Interno Bruto"/>
    <x v="19"/>
    <x v="19"/>
    <n v="5.6474354088865253E-2"/>
    <n v="138.62"/>
    <n v="2.3560545451554393E-2"/>
  </r>
  <r>
    <s v="B.1b"/>
    <s v="Producto Interno Bruto"/>
    <x v="20"/>
    <x v="20"/>
    <n v="5.1074880969556924E-2"/>
    <n v="145.69999999999999"/>
    <n v="-8.5834945003736562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53DFF5-98CD-43A0-BBA0-D7382C2683E2}" name="TablaDinámica3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44" rowHeaderCaption="Años">
  <location ref="G22:I27" firstHeaderRow="0" firstDataRow="1" firstDataCol="1"/>
  <pivotFields count="7">
    <pivotField showAll="0" defaultSubtotal="0"/>
    <pivotField showAll="0" defaultSubtotal="0"/>
    <pivotField axis="axisRow" subtotalTop="0" showAll="0" sortType="ascending" defaultSubtotal="0">
      <items count="2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x="15"/>
        <item x="16"/>
        <item x="17"/>
        <item x="18"/>
        <item x="19"/>
        <item h="1" x="20"/>
      </items>
    </pivotField>
    <pivotField numFmtId="164" subtotalTop="0" showAll="0" defaultSubtotal="0"/>
    <pivotField dataField="1" numFmtId="10" showAll="0" defaultSubtotal="0"/>
    <pivotField showAll="0" defaultSubtotal="0"/>
    <pivotField dataField="1" subtotalTop="0" showAll="0" defaultSubtotal="0"/>
  </pivotFields>
  <rowFields count="1">
    <field x="2"/>
  </rowFields>
  <rowItems count="5">
    <i>
      <x v="15"/>
    </i>
    <i>
      <x v="16"/>
    </i>
    <i>
      <x v="17"/>
    </i>
    <i>
      <x v="18"/>
    </i>
    <i>
      <x v="19"/>
    </i>
  </rowItems>
  <colFields count="1">
    <field x="-2"/>
  </colFields>
  <colItems count="2">
    <i>
      <x/>
    </i>
    <i i="1">
      <x v="1"/>
    </i>
  </colItems>
  <dataFields count="2">
    <dataField name=" Tasa de variacion Del PIB" fld="6" subtotal="average" baseField="2" baseItem="0" numFmtId="10"/>
    <dataField name="Inflacion Subyacente  " fld="4" subtotal="average" baseField="2" baseItem="0" numFmtId="10"/>
  </dataFields>
  <chartFormats count="14">
    <chartFormat chart="3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3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" format="6">
      <pivotArea type="data" outline="0" fieldPosition="0">
        <references count="2">
          <reference field="4294967294" count="1" selected="0">
            <x v="1"/>
          </reference>
          <reference field="2" count="1" selected="0">
            <x v="16"/>
          </reference>
        </references>
      </pivotArea>
    </chartFormat>
    <chartFormat chart="36" format="7">
      <pivotArea type="data" outline="0" fieldPosition="0">
        <references count="2">
          <reference field="4294967294" count="1" selected="0">
            <x v="1"/>
          </reference>
          <reference field="2" count="1" selected="0">
            <x v="18"/>
          </reference>
        </references>
      </pivotArea>
    </chartFormat>
    <chartFormat chart="36" format="8">
      <pivotArea type="data" outline="0" fieldPosition="0">
        <references count="2">
          <reference field="4294967294" count="1" selected="0">
            <x v="1"/>
          </reference>
          <reference field="2" count="1" selected="0">
            <x v="17"/>
          </reference>
        </references>
      </pivotArea>
    </chartFormat>
    <chartFormat chart="36" format="9">
      <pivotArea type="data" outline="0" fieldPosition="0">
        <references count="2">
          <reference field="4294967294" count="1" selected="0">
            <x v="1"/>
          </reference>
          <reference field="2" count="1" selected="0">
            <x v="19"/>
          </reference>
        </references>
      </pivotArea>
    </chartFormat>
    <chartFormat chart="36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36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36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36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36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36" format="17">
      <pivotArea type="data" outline="0" fieldPosition="0">
        <references count="2">
          <reference field="4294967294" count="1" selected="0">
            <x v="1"/>
          </reference>
          <reference field="2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1CFFD-BC27-4C2C-9635-7BF1C444ED5A}" name="TablaDinámica2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34" rowHeaderCaption="Años">
  <location ref="G7:H17" firstHeaderRow="1" firstDataRow="1" firstDataCol="1"/>
  <pivotFields count="7">
    <pivotField showAll="0" defaultSubtotal="0"/>
    <pivotField showAll="0" defaultSubtotal="0"/>
    <pivotField axis="axisRow" subtotalTop="0" showAll="0" measureFilter="1" sortType="descending" defaultSubtotal="0">
      <items count="21"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numFmtId="164" subtotalTop="0" showAll="0" defaultSubtotal="0"/>
    <pivotField numFmtId="10" showAll="0" defaultSubtotal="0"/>
    <pivotField showAll="0" defaultSubtotal="0"/>
    <pivotField dataField="1" subtotalTop="0" showAll="0" defaultSubtotal="0"/>
  </pivotFields>
  <rowFields count="1">
    <field x="2"/>
  </rowFields>
  <rowItems count="10">
    <i>
      <x v="4"/>
    </i>
    <i>
      <x v="6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</rowItems>
  <colItems count="1">
    <i/>
  </colItems>
  <dataFields count="1">
    <dataField name="Tasa de variacion Del PIB " fld="6" subtotal="average" baseField="2" baseItem="5" numFmtId="10"/>
  </dataFields>
  <pivotTableStyleInfo name="PivotStyleLight16" showRowHeaders="1" showColHeaders="1" showRowStripes="0" showColStripes="0" showLastColumn="1"/>
  <filters count="1">
    <filter fld="2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3EA521-1B24-4045-A1D9-8BBBACC8C40C}" name="TablaDiná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36" rowHeaderCaption="Años">
  <location ref="B7:D22" firstHeaderRow="0" firstDataRow="1" firstDataCol="1"/>
  <pivotFields count="7">
    <pivotField showAll="0" defaultSubtotal="0"/>
    <pivotField showAll="0" defaultSubtotal="0"/>
    <pivotField axis="axisRow" subtotalTop="0" showAll="0" defaultSubtotal="0">
      <items count="21">
        <item h="1" x="0"/>
        <item h="1" x="1"/>
        <item h="1" x="2"/>
        <item h="1" x="3"/>
        <item h="1"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h="1" x="20"/>
      </items>
    </pivotField>
    <pivotField dataField="1" numFmtId="164" subtotalTop="0" showAll="0" defaultSubtota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5"/>
        <item x="13"/>
        <item x="14"/>
        <item x="20"/>
        <item x="16"/>
        <item x="17"/>
        <item x="18"/>
        <item x="19"/>
      </items>
    </pivotField>
    <pivotField dataField="1" numFmtId="10" showAll="0" defaultSubtotal="0"/>
    <pivotField showAll="0" defaultSubtotal="0"/>
    <pivotField subtotalTop="0" showAll="0" defaultSubtotal="0"/>
  </pivotFields>
  <rowFields count="1">
    <field x="2"/>
  </rowFields>
  <rowItems count="15"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rowItems>
  <colFields count="1">
    <field x="-2"/>
  </colFields>
  <colItems count="2">
    <i>
      <x/>
    </i>
    <i i="1">
      <x v="1"/>
    </i>
  </colItems>
  <dataFields count="2">
    <dataField name="PIB " fld="3" subtotal="average" baseField="2" baseItem="5" numFmtId="164"/>
    <dataField name="Inflacion Subyacente " fld="4" subtotal="average" baseField="2" baseItem="5" numFmtId="10"/>
  </dataFields>
  <chartFormats count="5">
    <chartFormat chart="15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CA4786-C82B-4BE8-A202-301F3D3FB0D2}" name="TablaDinámica4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34" rowHeaderCaption="Años">
  <location ref="J18:J19" firstHeaderRow="1" firstDataRow="1" firstDataCol="0"/>
  <pivotFields count="7">
    <pivotField showAll="0" defaultSubtotal="0"/>
    <pivotField showAll="0" defaultSubtotal="0"/>
    <pivotField subtotalTop="0" showAll="0" measureFilter="1" sortType="descending" defaultSubtotal="0">
      <items count="21"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numFmtId="164" subtotalTop="0" showAll="0" defaultSubtotal="0"/>
    <pivotField numFmtId="10" showAll="0" defaultSubtotal="0"/>
    <pivotField showAll="0" defaultSubtotal="0"/>
    <pivotField dataField="1" subtotalTop="0" showAll="0" defaultSubtotal="0"/>
  </pivotFields>
  <rowItems count="1">
    <i/>
  </rowItems>
  <colItems count="1">
    <i/>
  </colItems>
  <dataFields count="1">
    <dataField name="Tasa de variacion Del PIB  2010 - 2024" fld="6" subtotal="average" baseField="0" baseItem="0" numFmtId="10"/>
  </dataFields>
  <pivotTableStyleInfo name="PivotStyleLight16" showRowHeaders="1" showColHeaders="1" showRowStripes="0" showColStripes="0" showLastColumn="1"/>
  <filters count="1">
    <filter fld="2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BEBF6237-001E-4341-8325-57ED4C22C647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Fecha" tableColumnId="1"/>
      <queryTableField id="2" name="IPC sin alimentos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40C00A-1C47-4801-98F0-F8391A734362}" name="Series_de_datos__4" displayName="Series_de_datos__4" ref="A1:C28" tableType="queryTable" totalsRowShown="0">
  <autoFilter ref="A1:C28" xr:uid="{0440C00A-1C47-4801-98F0-F8391A734362}"/>
  <tableColumns count="3">
    <tableColumn id="1" xr3:uid="{FB4F2DA1-65A2-4238-8CC0-27F66FB91B93}" uniqueName="1" name="Fecha" queryTableFieldId="1" dataDxfId="4"/>
    <tableColumn id="2" xr3:uid="{E153D401-12F7-492A-900A-90AD31CE0305}" uniqueName="2" name="IPC sin alimentos" queryTableFieldId="2"/>
    <tableColumn id="3" xr3:uid="{72AFC1FE-D29B-49BE-A282-AD4038D666B8}" uniqueName="3" name="Inflacion %" queryTableFieldId="3" dataDxfId="3">
      <calculatedColumnFormula>B3/Series_de_datos__4[[#This Row],[IPC sin alimentos]]-1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C05C70-4B77-437B-9317-D502C5B1327D}" name="Tabla1" displayName="Tabla1" ref="A1:G21" totalsRowShown="0">
  <autoFilter ref="A1:G21" xr:uid="{3EC05C70-4B77-437B-9317-D502C5B1327D}"/>
  <tableColumns count="7">
    <tableColumn id="1" xr3:uid="{121696D8-3293-4BEE-9C76-4B3980D91073}" name="Clasificación Cuentas Nacionales"/>
    <tableColumn id="2" xr3:uid="{669583C3-9579-4AF6-B256-D7DADBC4B413}" name="Concepto"/>
    <tableColumn id="3" xr3:uid="{55F98A9D-1B05-4950-A68E-9FE829963728}" name="Año"/>
    <tableColumn id="4" xr3:uid="{314C263B-C64D-4F21-8517-875CD9E96AD3}" name="PIB" dataDxfId="2" dataCellStyle="Millares"/>
    <tableColumn id="5" xr3:uid="{3BB6175F-171A-4ECA-923C-AD6E423E5CE7}" name="Inflacion Subyacente" dataDxfId="1">
      <calculatedColumnFormula>Inflacion!C8</calculatedColumnFormula>
    </tableColumn>
    <tableColumn id="6" xr3:uid="{6080A687-9D34-4123-8AB5-DF9594D21F0C}" name="inflacion">
      <calculatedColumnFormula>Inflacion!B8</calculatedColumnFormula>
    </tableColumn>
    <tableColumn id="7" xr3:uid="{620B68FE-0BC8-4DAF-9CA7-7735D6E8554F}" name="Tasa de variacion Del PIB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CE90D-DB64-4C6B-816A-71B9BEBEC513}">
  <dimension ref="A1:C28"/>
  <sheetViews>
    <sheetView topLeftCell="A10" zoomScale="115" zoomScaleNormal="115" workbookViewId="0">
      <selection activeCell="E1" sqref="E1"/>
    </sheetView>
  </sheetViews>
  <sheetFormatPr baseColWidth="10" defaultRowHeight="15" x14ac:dyDescent="0.25"/>
  <cols>
    <col min="1" max="1" width="14.85546875" style="1" customWidth="1"/>
    <col min="2" max="2" width="18.5703125" bestFit="1" customWidth="1"/>
    <col min="3" max="3" width="13" bestFit="1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>
        <v>36525</v>
      </c>
      <c r="B2">
        <v>42.08</v>
      </c>
      <c r="C2" s="2">
        <f>B3/Series_de_datos__4[[#This Row],[IPC sin alimentos]]-1</f>
        <v>8.9115969581748944E-2</v>
      </c>
    </row>
    <row r="3" spans="1:3" x14ac:dyDescent="0.25">
      <c r="A3" s="1">
        <v>36891</v>
      </c>
      <c r="B3">
        <v>45.83</v>
      </c>
      <c r="C3" s="2">
        <f>B4/Series_de_datos__4[[#This Row],[IPC sin alimentos]]-1</f>
        <v>6.4804713070041542E-2</v>
      </c>
    </row>
    <row r="4" spans="1:3" x14ac:dyDescent="0.25">
      <c r="A4" s="1">
        <v>37256</v>
      </c>
      <c r="B4">
        <v>48.8</v>
      </c>
      <c r="C4" s="2">
        <f>B5/Series_de_datos__4[[#This Row],[IPC sin alimentos]]-1</f>
        <v>5.4098360655737698E-2</v>
      </c>
    </row>
    <row r="5" spans="1:3" x14ac:dyDescent="0.25">
      <c r="A5" s="1">
        <v>37621</v>
      </c>
      <c r="B5">
        <v>51.44</v>
      </c>
      <c r="C5" s="2">
        <f>B6/Series_de_datos__4[[#This Row],[IPC sin alimentos]]-1</f>
        <v>6.9790046656298621E-2</v>
      </c>
    </row>
    <row r="6" spans="1:3" x14ac:dyDescent="0.25">
      <c r="A6" s="1">
        <v>37986</v>
      </c>
      <c r="B6">
        <v>55.03</v>
      </c>
      <c r="C6" s="2">
        <f>B7/Series_de_datos__4[[#This Row],[IPC sin alimentos]]-1</f>
        <v>5.4879156823550712E-2</v>
      </c>
    </row>
    <row r="7" spans="1:3" x14ac:dyDescent="0.25">
      <c r="A7" s="1">
        <v>38352</v>
      </c>
      <c r="B7">
        <v>58.05</v>
      </c>
      <c r="C7" s="2">
        <f>B8/Series_de_datos__4[[#This Row],[IPC sin alimentos]]-1</f>
        <v>4.2204995693367886E-2</v>
      </c>
    </row>
    <row r="8" spans="1:3" x14ac:dyDescent="0.25">
      <c r="A8" s="1">
        <v>38717</v>
      </c>
      <c r="B8">
        <v>60.5</v>
      </c>
      <c r="C8" s="2">
        <f>B9/Series_de_datos__4[[#This Row],[IPC sin alimentos]]-1</f>
        <v>4.0991735537190044E-2</v>
      </c>
    </row>
    <row r="9" spans="1:3" x14ac:dyDescent="0.25">
      <c r="A9" s="1">
        <v>39082</v>
      </c>
      <c r="B9">
        <v>62.98</v>
      </c>
      <c r="C9" s="2">
        <f>B10/Series_de_datos__4[[#This Row],[IPC sin alimentos]]-1</f>
        <v>4.6522705620831939E-2</v>
      </c>
    </row>
    <row r="10" spans="1:3" x14ac:dyDescent="0.25">
      <c r="A10" s="1">
        <v>39447</v>
      </c>
      <c r="B10">
        <v>65.91</v>
      </c>
      <c r="C10" s="2">
        <f>B11/Series_de_datos__4[[#This Row],[IPC sin alimentos]]-1</f>
        <v>5.355788196024891E-2</v>
      </c>
    </row>
    <row r="11" spans="1:3" x14ac:dyDescent="0.25">
      <c r="A11" s="1">
        <v>39813</v>
      </c>
      <c r="B11">
        <v>69.44</v>
      </c>
      <c r="C11" s="2">
        <f>B12/Series_de_datos__4[[#This Row],[IPC sin alimentos]]-1</f>
        <v>3.0961981566820285E-2</v>
      </c>
    </row>
    <row r="12" spans="1:3" x14ac:dyDescent="0.25">
      <c r="A12" s="1">
        <v>40178</v>
      </c>
      <c r="B12">
        <v>71.59</v>
      </c>
      <c r="C12" s="2">
        <f>B13/Series_de_datos__4[[#This Row],[IPC sin alimentos]]-1</f>
        <v>3.0032127392093821E-2</v>
      </c>
    </row>
    <row r="13" spans="1:3" x14ac:dyDescent="0.25">
      <c r="A13" s="1">
        <v>40543</v>
      </c>
      <c r="B13">
        <v>73.739999999999995</v>
      </c>
      <c r="C13" s="2">
        <f>Series_de_datos__4[[#This Row],[IPC sin alimentos]]/B12-1</f>
        <v>3.0032127392093821E-2</v>
      </c>
    </row>
    <row r="14" spans="1:3" x14ac:dyDescent="0.25">
      <c r="A14" s="1">
        <v>40908</v>
      </c>
      <c r="B14">
        <v>76.23</v>
      </c>
      <c r="C14" s="2">
        <f>Series_de_datos__4[[#This Row],[IPC sin alimentos]]/B13-1</f>
        <v>3.3767290480065215E-2</v>
      </c>
    </row>
    <row r="15" spans="1:3" x14ac:dyDescent="0.25">
      <c r="A15" s="1">
        <v>41274</v>
      </c>
      <c r="B15">
        <v>78.27</v>
      </c>
      <c r="C15" s="2">
        <f>Series_de_datos__4[[#This Row],[IPC sin alimentos]]/B14-1</f>
        <v>2.6761117670208501E-2</v>
      </c>
    </row>
    <row r="16" spans="1:3" x14ac:dyDescent="0.25">
      <c r="A16" s="1">
        <v>41639</v>
      </c>
      <c r="B16">
        <v>80.2</v>
      </c>
      <c r="C16" s="2">
        <f>Series_de_datos__4[[#This Row],[IPC sin alimentos]]/B15-1</f>
        <v>2.4658234317107564E-2</v>
      </c>
    </row>
    <row r="17" spans="1:3" x14ac:dyDescent="0.25">
      <c r="A17" s="1">
        <v>42004</v>
      </c>
      <c r="B17">
        <v>82.83</v>
      </c>
      <c r="C17" s="2">
        <f>Series_de_datos__4[[#This Row],[IPC sin alimentos]]/B16-1</f>
        <v>3.2793017456359097E-2</v>
      </c>
    </row>
    <row r="18" spans="1:3" x14ac:dyDescent="0.25">
      <c r="A18" s="1">
        <v>42369</v>
      </c>
      <c r="B18">
        <v>87.18</v>
      </c>
      <c r="C18" s="2">
        <f>Series_de_datos__4[[#This Row],[IPC sin alimentos]]/B17-1</f>
        <v>5.2517203911626398E-2</v>
      </c>
    </row>
    <row r="19" spans="1:3" x14ac:dyDescent="0.25">
      <c r="A19" s="1">
        <v>42735</v>
      </c>
      <c r="B19">
        <v>91.99</v>
      </c>
      <c r="C19" s="2">
        <f>Series_de_datos__4[[#This Row],[IPC sin alimentos]]/B18-1</f>
        <v>5.5173204863500747E-2</v>
      </c>
    </row>
    <row r="20" spans="1:3" x14ac:dyDescent="0.25">
      <c r="A20" s="1">
        <v>43100</v>
      </c>
      <c r="B20">
        <v>96.61</v>
      </c>
      <c r="C20" s="2">
        <f>Series_de_datos__4[[#This Row],[IPC sin alimentos]]/B19-1</f>
        <v>5.0222850309816325E-2</v>
      </c>
    </row>
    <row r="21" spans="1:3" x14ac:dyDescent="0.25">
      <c r="A21" s="1">
        <v>43465</v>
      </c>
      <c r="B21">
        <v>100</v>
      </c>
      <c r="C21" s="2">
        <f>Series_de_datos__4[[#This Row],[IPC sin alimentos]]/B20-1</f>
        <v>3.5089535244798631E-2</v>
      </c>
    </row>
    <row r="22" spans="1:3" x14ac:dyDescent="0.25">
      <c r="A22" s="1">
        <v>43830</v>
      </c>
      <c r="B22">
        <v>103.45</v>
      </c>
      <c r="C22" s="2">
        <f>Series_de_datos__4[[#This Row],[IPC sin alimentos]]/B21-1</f>
        <v>3.4499999999999975E-2</v>
      </c>
    </row>
    <row r="23" spans="1:3" x14ac:dyDescent="0.25">
      <c r="A23" s="1">
        <v>44196</v>
      </c>
      <c r="B23">
        <v>104.52</v>
      </c>
      <c r="C23" s="2">
        <f>Series_de_datos__4[[#This Row],[IPC sin alimentos]]/B22-1</f>
        <v>1.0343160947317465E-2</v>
      </c>
    </row>
    <row r="24" spans="1:3" x14ac:dyDescent="0.25">
      <c r="A24" s="1">
        <v>44561</v>
      </c>
      <c r="B24">
        <v>108.12</v>
      </c>
      <c r="C24" s="2">
        <f>Series_de_datos__4[[#This Row],[IPC sin alimentos]]/B23-1</f>
        <v>3.4443168771526977E-2</v>
      </c>
    </row>
    <row r="25" spans="1:3" x14ac:dyDescent="0.25">
      <c r="A25" s="1">
        <v>44926</v>
      </c>
      <c r="B25">
        <v>118.92</v>
      </c>
      <c r="C25" s="2">
        <f>Series_de_datos__4[[#This Row],[IPC sin alimentos]]/B24-1</f>
        <v>9.9889012208657091E-2</v>
      </c>
    </row>
    <row r="26" spans="1:3" x14ac:dyDescent="0.25">
      <c r="A26" s="1">
        <v>45291</v>
      </c>
      <c r="B26">
        <v>131.21</v>
      </c>
      <c r="C26" s="2">
        <f>Series_de_datos__4[[#This Row],[IPC sin alimentos]]/B25-1</f>
        <v>0.1033467877564751</v>
      </c>
    </row>
    <row r="27" spans="1:3" x14ac:dyDescent="0.25">
      <c r="A27" s="1">
        <v>45657</v>
      </c>
      <c r="B27">
        <v>138.62</v>
      </c>
      <c r="C27" s="2">
        <f>Series_de_datos__4[[#This Row],[IPC sin alimentos]]/B26-1</f>
        <v>5.6474354088865253E-2</v>
      </c>
    </row>
    <row r="28" spans="1:3" x14ac:dyDescent="0.25">
      <c r="A28" s="1">
        <v>46022</v>
      </c>
      <c r="B28">
        <v>145.69999999999999</v>
      </c>
      <c r="C28" s="2">
        <f>Series_de_datos__4[[#This Row],[IPC sin alimentos]]/B27-1</f>
        <v>5.1074880969556924E-2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D8A67-B3C6-4FFA-A230-826705D75FA7}">
  <dimension ref="A1:G22"/>
  <sheetViews>
    <sheetView workbookViewId="0">
      <selection activeCell="F10" sqref="F10"/>
    </sheetView>
  </sheetViews>
  <sheetFormatPr baseColWidth="10" defaultRowHeight="15" x14ac:dyDescent="0.25"/>
  <cols>
    <col min="1" max="1" width="32.42578125" bestFit="1" customWidth="1"/>
    <col min="2" max="2" width="21.5703125" bestFit="1" customWidth="1"/>
    <col min="3" max="3" width="10.7109375" bestFit="1" customWidth="1"/>
    <col min="4" max="4" width="12" style="3" bestFit="1" customWidth="1"/>
    <col min="5" max="5" width="22.28515625" bestFit="1" customWidth="1"/>
    <col min="7" max="7" width="25.28515625" bestFit="1" customWidth="1"/>
  </cols>
  <sheetData>
    <row r="1" spans="1:7" x14ac:dyDescent="0.25">
      <c r="A1" t="s">
        <v>3</v>
      </c>
      <c r="B1" t="s">
        <v>4</v>
      </c>
      <c r="C1" t="s">
        <v>10</v>
      </c>
      <c r="D1" s="3" t="s">
        <v>9</v>
      </c>
      <c r="E1" t="s">
        <v>7</v>
      </c>
      <c r="F1" t="s">
        <v>8</v>
      </c>
      <c r="G1" t="s">
        <v>12</v>
      </c>
    </row>
    <row r="2" spans="1:7" hidden="1" x14ac:dyDescent="0.25">
      <c r="A2" t="s">
        <v>5</v>
      </c>
      <c r="B2" t="s">
        <v>6</v>
      </c>
      <c r="C2">
        <v>2005</v>
      </c>
      <c r="D2" s="3">
        <v>121117.73043670836</v>
      </c>
      <c r="E2" s="2">
        <f>Inflacion!C8</f>
        <v>4.0991735537190044E-2</v>
      </c>
      <c r="F2">
        <f>Inflacion!B8</f>
        <v>60.5</v>
      </c>
      <c r="G2" s="2"/>
    </row>
    <row r="3" spans="1:7" hidden="1" x14ac:dyDescent="0.25">
      <c r="A3" t="s">
        <v>5</v>
      </c>
      <c r="B3" t="s">
        <v>6</v>
      </c>
      <c r="C3">
        <v>2006</v>
      </c>
      <c r="D3" s="3">
        <v>128839.68114415972</v>
      </c>
      <c r="E3" s="2">
        <f>Inflacion!C9</f>
        <v>4.6522705620831939E-2</v>
      </c>
      <c r="F3">
        <f>Inflacion!B9</f>
        <v>62.98</v>
      </c>
      <c r="G3" s="2">
        <f>#REF!/D2-1</f>
        <v>6.375574145592644E-2</v>
      </c>
    </row>
    <row r="4" spans="1:7" hidden="1" x14ac:dyDescent="0.25">
      <c r="A4" t="s">
        <v>5</v>
      </c>
      <c r="B4" t="s">
        <v>6</v>
      </c>
      <c r="C4">
        <v>2007</v>
      </c>
      <c r="D4" s="3">
        <v>137488.51677684105</v>
      </c>
      <c r="E4" s="2">
        <f>Inflacion!C10</f>
        <v>5.355788196024891E-2</v>
      </c>
      <c r="F4">
        <f>Inflacion!B10</f>
        <v>65.91</v>
      </c>
      <c r="G4" s="2">
        <f>#REF!/D3-1</f>
        <v>6.7128663746102157E-2</v>
      </c>
    </row>
    <row r="5" spans="1:7" hidden="1" x14ac:dyDescent="0.25">
      <c r="A5" t="s">
        <v>5</v>
      </c>
      <c r="B5" t="s">
        <v>6</v>
      </c>
      <c r="C5">
        <v>2008</v>
      </c>
      <c r="D5" s="3">
        <v>144602.69329964361</v>
      </c>
      <c r="E5" s="2">
        <f>Inflacion!C11</f>
        <v>3.0961981566820285E-2</v>
      </c>
      <c r="F5">
        <f>Inflacion!B11</f>
        <v>69.44</v>
      </c>
      <c r="G5" s="2">
        <f>#REF!/D4-1</f>
        <v>5.1743786969130401E-2</v>
      </c>
    </row>
    <row r="6" spans="1:7" hidden="1" x14ac:dyDescent="0.25">
      <c r="A6" t="s">
        <v>5</v>
      </c>
      <c r="B6" t="s">
        <v>6</v>
      </c>
      <c r="C6">
        <v>2009</v>
      </c>
      <c r="D6" s="10">
        <v>164292.74096873379</v>
      </c>
      <c r="E6" s="2">
        <f>Inflacion!C12</f>
        <v>3.0032127392093821E-2</v>
      </c>
      <c r="F6">
        <f>Inflacion!B12</f>
        <v>71.59</v>
      </c>
      <c r="G6" s="2">
        <f>#REF!/D5-1</f>
        <v>0.13616653479813645</v>
      </c>
    </row>
    <row r="7" spans="1:7" x14ac:dyDescent="0.25">
      <c r="A7" t="s">
        <v>5</v>
      </c>
      <c r="B7" t="s">
        <v>6</v>
      </c>
      <c r="C7">
        <v>2010</v>
      </c>
      <c r="D7" s="10">
        <v>173063.550682998</v>
      </c>
      <c r="E7" s="2">
        <f>Inflacion!C13</f>
        <v>3.0032127392093821E-2</v>
      </c>
      <c r="F7">
        <f>Inflacion!B13</f>
        <v>73.739999999999995</v>
      </c>
      <c r="G7" s="2">
        <f>#REF!/D6-1</f>
        <v>5.33852540443851E-2</v>
      </c>
    </row>
    <row r="8" spans="1:7" x14ac:dyDescent="0.25">
      <c r="A8" t="s">
        <v>5</v>
      </c>
      <c r="B8" t="s">
        <v>6</v>
      </c>
      <c r="C8">
        <v>2011</v>
      </c>
      <c r="D8" s="10">
        <v>184010.44028239194</v>
      </c>
      <c r="E8" s="2">
        <f>Inflacion!C14</f>
        <v>3.3767290480065215E-2</v>
      </c>
      <c r="F8">
        <f>Inflacion!B14</f>
        <v>76.23</v>
      </c>
      <c r="G8" s="2">
        <f>#REF!/D7-1</f>
        <v>6.325358260703573E-2</v>
      </c>
    </row>
    <row r="9" spans="1:7" x14ac:dyDescent="0.25">
      <c r="A9" t="s">
        <v>5</v>
      </c>
      <c r="B9" t="s">
        <v>6</v>
      </c>
      <c r="C9">
        <v>2012</v>
      </c>
      <c r="D9" s="10">
        <v>188971.82480957385</v>
      </c>
      <c r="E9" s="2">
        <f>Inflacion!C15</f>
        <v>2.6761117670208501E-2</v>
      </c>
      <c r="F9">
        <f>Inflacion!B15</f>
        <v>78.27</v>
      </c>
      <c r="G9" s="2">
        <f>#REF!/D8-1</f>
        <v>2.6962516472260667E-2</v>
      </c>
    </row>
    <row r="10" spans="1:7" x14ac:dyDescent="0.25">
      <c r="A10" t="s">
        <v>5</v>
      </c>
      <c r="B10" t="s">
        <v>6</v>
      </c>
      <c r="C10">
        <v>2013</v>
      </c>
      <c r="D10" s="10">
        <v>200972.78843201874</v>
      </c>
      <c r="E10" s="2">
        <f>Inflacion!C16</f>
        <v>2.4658234317107564E-2</v>
      </c>
      <c r="F10">
        <f>Inflacion!B16</f>
        <v>80.2</v>
      </c>
      <c r="G10" s="2">
        <f>#REF!/D9-1</f>
        <v>6.3506629279461269E-2</v>
      </c>
    </row>
    <row r="11" spans="1:7" x14ac:dyDescent="0.25">
      <c r="A11" t="s">
        <v>5</v>
      </c>
      <c r="B11" t="s">
        <v>6</v>
      </c>
      <c r="C11">
        <v>2014</v>
      </c>
      <c r="D11" s="10">
        <v>208535.81920333469</v>
      </c>
      <c r="E11" s="2">
        <f>Inflacion!C17</f>
        <v>3.2793017456359097E-2</v>
      </c>
      <c r="F11">
        <f>Inflacion!B17</f>
        <v>82.83</v>
      </c>
      <c r="G11" s="2">
        <f>#REF!/D10-1</f>
        <v>3.7632113433477166E-2</v>
      </c>
    </row>
    <row r="12" spans="1:7" x14ac:dyDescent="0.25">
      <c r="A12" t="s">
        <v>5</v>
      </c>
      <c r="B12" t="s">
        <v>6</v>
      </c>
      <c r="C12">
        <v>2015</v>
      </c>
      <c r="D12" s="10">
        <v>212831.55285361854</v>
      </c>
      <c r="E12" s="2">
        <f>Inflacion!C18</f>
        <v>5.2517203911626398E-2</v>
      </c>
      <c r="F12">
        <f>Inflacion!B18</f>
        <v>87.18</v>
      </c>
      <c r="G12" s="2">
        <f>#REF!/D11-1</f>
        <v>2.0599500204304233E-2</v>
      </c>
    </row>
    <row r="13" spans="1:7" x14ac:dyDescent="0.25">
      <c r="A13" t="s">
        <v>5</v>
      </c>
      <c r="B13" t="s">
        <v>6</v>
      </c>
      <c r="C13">
        <v>2016</v>
      </c>
      <c r="D13" s="10">
        <v>217736.68285999072</v>
      </c>
      <c r="E13" s="2">
        <f>Inflacion!C19</f>
        <v>5.5173204863500747E-2</v>
      </c>
      <c r="F13">
        <f>Inflacion!B19</f>
        <v>91.99</v>
      </c>
      <c r="G13" s="2">
        <f>#REF!/D12-1</f>
        <v>2.3047005674698084E-2</v>
      </c>
    </row>
    <row r="14" spans="1:7" x14ac:dyDescent="0.25">
      <c r="A14" t="s">
        <v>5</v>
      </c>
      <c r="B14" t="s">
        <v>6</v>
      </c>
      <c r="C14">
        <v>2017</v>
      </c>
      <c r="D14" s="10">
        <v>220760.57309340095</v>
      </c>
      <c r="E14" s="2">
        <f>Inflacion!C20</f>
        <v>5.0222850309816325E-2</v>
      </c>
      <c r="F14">
        <f>Inflacion!B20</f>
        <v>96.61</v>
      </c>
      <c r="G14" s="2">
        <f>#REF!/D13-1</f>
        <v>1.3887830905161103E-2</v>
      </c>
    </row>
    <row r="15" spans="1:7" x14ac:dyDescent="0.25">
      <c r="A15" t="s">
        <v>5</v>
      </c>
      <c r="B15" t="s">
        <v>6</v>
      </c>
      <c r="C15">
        <v>2018</v>
      </c>
      <c r="D15" s="10">
        <v>227192.97591878168</v>
      </c>
      <c r="E15" s="2">
        <f>Inflacion!C21</f>
        <v>3.5089535244798631E-2</v>
      </c>
      <c r="F15">
        <f>Inflacion!B21</f>
        <v>100</v>
      </c>
      <c r="G15" s="2">
        <f>#REF!/D14-1</f>
        <v>2.9137462071450848E-2</v>
      </c>
    </row>
    <row r="16" spans="1:7" x14ac:dyDescent="0.25">
      <c r="A16" t="s">
        <v>5</v>
      </c>
      <c r="B16" t="s">
        <v>6</v>
      </c>
      <c r="C16">
        <v>2019</v>
      </c>
      <c r="D16" s="10">
        <v>234215.68877028709</v>
      </c>
      <c r="E16" s="2">
        <f>Inflacion!C22</f>
        <v>3.4499999999999975E-2</v>
      </c>
      <c r="F16">
        <f>Inflacion!B22</f>
        <v>103.45</v>
      </c>
      <c r="G16" s="2">
        <f>#REF!/D15-1</f>
        <v>3.0910783324639146E-2</v>
      </c>
    </row>
    <row r="17" spans="1:7" x14ac:dyDescent="0.25">
      <c r="A17" t="s">
        <v>5</v>
      </c>
      <c r="B17" t="s">
        <v>6</v>
      </c>
      <c r="C17">
        <v>2020</v>
      </c>
      <c r="D17" s="10">
        <v>226463.51215166118</v>
      </c>
      <c r="E17" s="2">
        <f>Inflacion!C23</f>
        <v>1.0343160947317465E-2</v>
      </c>
      <c r="F17">
        <f>Inflacion!B23</f>
        <v>104.52</v>
      </c>
      <c r="G17" s="2">
        <f>#REF!/D16-1</f>
        <v>-3.3098451514189775E-2</v>
      </c>
    </row>
    <row r="18" spans="1:7" x14ac:dyDescent="0.25">
      <c r="A18" t="s">
        <v>5</v>
      </c>
      <c r="B18" t="s">
        <v>6</v>
      </c>
      <c r="C18">
        <v>2021</v>
      </c>
      <c r="D18" s="10">
        <v>251558.78909023802</v>
      </c>
      <c r="E18" s="2">
        <f>Inflacion!C24</f>
        <v>3.4443168771526977E-2</v>
      </c>
      <c r="F18">
        <f>Inflacion!B24</f>
        <v>108.12</v>
      </c>
      <c r="G18" s="2">
        <f>#REF!/D17-1</f>
        <v>0.11081377613613386</v>
      </c>
    </row>
    <row r="19" spans="1:7" x14ac:dyDescent="0.25">
      <c r="A19" t="s">
        <v>5</v>
      </c>
      <c r="B19" t="s">
        <v>6</v>
      </c>
      <c r="C19">
        <v>2022</v>
      </c>
      <c r="D19" s="10">
        <v>257422.09738362732</v>
      </c>
      <c r="E19" s="2">
        <f>Inflacion!C25</f>
        <v>9.9889012208657091E-2</v>
      </c>
      <c r="F19">
        <f>Inflacion!B25</f>
        <v>118.92</v>
      </c>
      <c r="G19" s="2">
        <f>#REF!/D18-1</f>
        <v>2.3307904743038232E-2</v>
      </c>
    </row>
    <row r="20" spans="1:7" x14ac:dyDescent="0.25">
      <c r="A20" t="s">
        <v>5</v>
      </c>
      <c r="B20" t="s">
        <v>6</v>
      </c>
      <c r="C20">
        <v>2023</v>
      </c>
      <c r="D20" s="10">
        <v>259305.47430679397</v>
      </c>
      <c r="E20" s="2">
        <f>Inflacion!C26</f>
        <v>0.1033467877564751</v>
      </c>
      <c r="F20">
        <f>Inflacion!B26</f>
        <v>131.21</v>
      </c>
      <c r="G20" s="2">
        <f>#REF!/D19-1</f>
        <v>7.3162985707475592E-3</v>
      </c>
    </row>
    <row r="21" spans="1:7" x14ac:dyDescent="0.25">
      <c r="A21" t="s">
        <v>5</v>
      </c>
      <c r="B21" t="s">
        <v>6</v>
      </c>
      <c r="C21">
        <v>2024</v>
      </c>
      <c r="D21" s="10">
        <v>265414.85272003605</v>
      </c>
      <c r="E21" s="2">
        <f>Inflacion!C27</f>
        <v>5.6474354088865253E-2</v>
      </c>
      <c r="F21">
        <f>Inflacion!B27</f>
        <v>138.62</v>
      </c>
      <c r="G21" s="2">
        <f>#REF!/D20-1</f>
        <v>2.3560545451554393E-2</v>
      </c>
    </row>
    <row r="22" spans="1:7" hidden="1" x14ac:dyDescent="0.25">
      <c r="A22" t="s">
        <v>5</v>
      </c>
      <c r="B22" t="s">
        <v>6</v>
      </c>
      <c r="C22">
        <v>2025</v>
      </c>
      <c r="D22" s="3">
        <v>242632.98343363692</v>
      </c>
      <c r="E22" s="2">
        <f>Inflacion!C28</f>
        <v>5.1074880969556924E-2</v>
      </c>
      <c r="F22">
        <f>Inflacion!B28</f>
        <v>145.69999999999999</v>
      </c>
      <c r="G22">
        <f>#REF!/D21-1</f>
        <v>-8.5834945003736562E-2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782ED-1073-4E79-97A1-40243AB1C8E1}">
  <dimension ref="A1:L27"/>
  <sheetViews>
    <sheetView topLeftCell="B4" zoomScale="85" zoomScaleNormal="85" workbookViewId="0">
      <selection activeCell="L19" sqref="L19"/>
    </sheetView>
  </sheetViews>
  <sheetFormatPr baseColWidth="10" defaultRowHeight="15" x14ac:dyDescent="0.25"/>
  <cols>
    <col min="2" max="2" width="17.5703125" bestFit="1" customWidth="1"/>
    <col min="3" max="3" width="11.28515625" bestFit="1" customWidth="1"/>
    <col min="4" max="4" width="20" bestFit="1" customWidth="1"/>
    <col min="6" max="6" width="11.85546875" bestFit="1" customWidth="1"/>
    <col min="7" max="7" width="17.5703125" bestFit="1" customWidth="1"/>
    <col min="8" max="8" width="35.140625" bestFit="1" customWidth="1"/>
    <col min="9" max="9" width="31.85546875" bestFit="1" customWidth="1"/>
    <col min="10" max="10" width="33.7109375" bestFit="1" customWidth="1"/>
    <col min="12" max="12" width="6.7109375" customWidth="1"/>
  </cols>
  <sheetData>
    <row r="1" spans="1:11" s="6" customFormat="1" ht="66.75" customHeight="1" x14ac:dyDescent="0.7">
      <c r="A1" s="7" t="s">
        <v>11</v>
      </c>
    </row>
    <row r="7" spans="1:11" x14ac:dyDescent="0.25">
      <c r="B7" s="4" t="s">
        <v>18</v>
      </c>
      <c r="C7" t="s">
        <v>13</v>
      </c>
      <c r="D7" t="s">
        <v>14</v>
      </c>
      <c r="G7" s="4" t="s">
        <v>18</v>
      </c>
      <c r="H7" t="s">
        <v>15</v>
      </c>
    </row>
    <row r="8" spans="1:11" x14ac:dyDescent="0.25">
      <c r="B8" s="5">
        <v>2010</v>
      </c>
      <c r="C8" s="3">
        <v>173063.550682998</v>
      </c>
      <c r="D8" s="2">
        <v>3.0032127392093821E-2</v>
      </c>
      <c r="G8" s="5">
        <v>2021</v>
      </c>
      <c r="H8" s="2">
        <v>0.11081377613613386</v>
      </c>
      <c r="J8" t="s">
        <v>21</v>
      </c>
    </row>
    <row r="9" spans="1:11" x14ac:dyDescent="0.25">
      <c r="B9" s="5">
        <v>2011</v>
      </c>
      <c r="C9" s="3">
        <v>184010.44028239194</v>
      </c>
      <c r="D9" s="2">
        <v>3.3767290480065215E-2</v>
      </c>
      <c r="G9" s="5">
        <v>2019</v>
      </c>
      <c r="H9" s="2">
        <v>3.0910783324639146E-2</v>
      </c>
    </row>
    <row r="10" spans="1:11" x14ac:dyDescent="0.25">
      <c r="B10" s="5">
        <v>2012</v>
      </c>
      <c r="C10" s="3">
        <v>188971.82480957385</v>
      </c>
      <c r="D10" s="2">
        <v>2.6761117670208501E-2</v>
      </c>
      <c r="G10" s="5">
        <v>2014</v>
      </c>
      <c r="H10" s="2">
        <v>3.7632113433477166E-2</v>
      </c>
      <c r="J10" t="s">
        <v>19</v>
      </c>
    </row>
    <row r="11" spans="1:11" x14ac:dyDescent="0.25">
      <c r="B11" s="5">
        <v>2013</v>
      </c>
      <c r="C11" s="3">
        <v>200972.78843201874</v>
      </c>
      <c r="D11" s="2">
        <v>2.4658234317107564E-2</v>
      </c>
      <c r="G11" s="5">
        <v>2013</v>
      </c>
      <c r="H11" s="2">
        <v>6.3506629279461269E-2</v>
      </c>
      <c r="J11" s="2">
        <f>Data_set_Completo!D18/Data_set_Completo!D16-1</f>
        <v>7.4047560225398046E-2</v>
      </c>
    </row>
    <row r="12" spans="1:11" x14ac:dyDescent="0.25">
      <c r="B12" s="5">
        <v>2014</v>
      </c>
      <c r="C12" s="3">
        <v>208535.81920333469</v>
      </c>
      <c r="D12" s="2">
        <v>3.2793017456359097E-2</v>
      </c>
      <c r="G12" s="5">
        <v>2011</v>
      </c>
      <c r="H12" s="2">
        <v>6.325358260703573E-2</v>
      </c>
      <c r="J12" t="s">
        <v>20</v>
      </c>
    </row>
    <row r="13" spans="1:11" x14ac:dyDescent="0.25">
      <c r="B13" s="5">
        <v>2015</v>
      </c>
      <c r="C13" s="3">
        <v>212831.55285361854</v>
      </c>
      <c r="D13" s="2">
        <v>5.2517203911626398E-2</v>
      </c>
      <c r="G13" s="5">
        <v>2010</v>
      </c>
      <c r="H13" s="2">
        <v>5.33852540443851E-2</v>
      </c>
      <c r="I13" s="5"/>
      <c r="J13" s="11">
        <f>Inflacion!B24/Inflacion!B23-1</f>
        <v>3.4443168771526977E-2</v>
      </c>
      <c r="K13" s="2"/>
    </row>
    <row r="14" spans="1:11" x14ac:dyDescent="0.25">
      <c r="B14" s="5">
        <v>2016</v>
      </c>
      <c r="C14" s="3">
        <v>217736.68285999072</v>
      </c>
      <c r="D14" s="2">
        <v>5.5173204863500747E-2</v>
      </c>
      <c r="G14" s="5">
        <v>2009</v>
      </c>
      <c r="H14" s="2">
        <v>0.13616653479813645</v>
      </c>
      <c r="I14" s="5"/>
      <c r="J14" s="9"/>
      <c r="K14" s="2"/>
    </row>
    <row r="15" spans="1:11" x14ac:dyDescent="0.25">
      <c r="B15" s="5">
        <v>2017</v>
      </c>
      <c r="C15" s="3">
        <v>220760.57309340095</v>
      </c>
      <c r="D15" s="2">
        <v>5.0222850309816325E-2</v>
      </c>
      <c r="G15" s="5">
        <v>2008</v>
      </c>
      <c r="H15" s="2">
        <v>5.1743786969130401E-2</v>
      </c>
      <c r="I15" s="5"/>
      <c r="J15" s="9"/>
      <c r="K15" s="2"/>
    </row>
    <row r="16" spans="1:11" x14ac:dyDescent="0.25">
      <c r="B16" s="5">
        <v>2018</v>
      </c>
      <c r="C16" s="3">
        <v>227192.97591878168</v>
      </c>
      <c r="D16" s="2">
        <v>3.5089535244798631E-2</v>
      </c>
      <c r="G16" s="5">
        <v>2007</v>
      </c>
      <c r="H16" s="2">
        <v>6.7128663746102157E-2</v>
      </c>
      <c r="I16" s="5"/>
      <c r="J16" s="9"/>
      <c r="K16" s="2"/>
    </row>
    <row r="17" spans="2:12" x14ac:dyDescent="0.25">
      <c r="B17" s="5">
        <v>2019</v>
      </c>
      <c r="C17" s="3">
        <v>234215.68877028709</v>
      </c>
      <c r="D17" s="2">
        <v>3.4499999999999975E-2</v>
      </c>
      <c r="G17" s="5">
        <v>2006</v>
      </c>
      <c r="H17" s="2">
        <v>6.375574145592644E-2</v>
      </c>
      <c r="I17" s="5"/>
      <c r="J17" s="9"/>
      <c r="K17" s="2"/>
    </row>
    <row r="18" spans="2:12" x14ac:dyDescent="0.25">
      <c r="B18" s="5">
        <v>2020</v>
      </c>
      <c r="C18" s="3">
        <v>226463.51215166118</v>
      </c>
      <c r="D18" s="2">
        <v>1.0343160947317465E-2</v>
      </c>
      <c r="J18" t="s">
        <v>22</v>
      </c>
    </row>
    <row r="19" spans="2:12" x14ac:dyDescent="0.25">
      <c r="B19" s="5">
        <v>2021</v>
      </c>
      <c r="C19" s="3">
        <v>251558.78909023802</v>
      </c>
      <c r="D19" s="2">
        <v>3.4443168771526977E-2</v>
      </c>
      <c r="J19" s="2">
        <v>3.6359126668485828E-2</v>
      </c>
      <c r="L19" s="2">
        <f>GETPIVOTDATA("Tasa de variacion Del PIB",$J$18)</f>
        <v>3.6359126668485828E-2</v>
      </c>
    </row>
    <row r="20" spans="2:12" x14ac:dyDescent="0.25">
      <c r="B20" s="5">
        <v>2022</v>
      </c>
      <c r="C20" s="3">
        <v>257422.09738362732</v>
      </c>
      <c r="D20" s="2">
        <v>9.9889012208657091E-2</v>
      </c>
    </row>
    <row r="21" spans="2:12" x14ac:dyDescent="0.25">
      <c r="B21" s="5">
        <v>2023</v>
      </c>
      <c r="C21" s="3">
        <v>259305.47430679397</v>
      </c>
      <c r="D21" s="2">
        <v>0.1033467877564751</v>
      </c>
    </row>
    <row r="22" spans="2:12" x14ac:dyDescent="0.25">
      <c r="B22" s="5">
        <v>2024</v>
      </c>
      <c r="C22" s="3">
        <v>265414.85272003605</v>
      </c>
      <c r="D22" s="2">
        <v>5.6474354088865253E-2</v>
      </c>
      <c r="G22" s="4" t="s">
        <v>18</v>
      </c>
      <c r="H22" t="s">
        <v>16</v>
      </c>
      <c r="I22" t="s">
        <v>17</v>
      </c>
    </row>
    <row r="23" spans="2:12" x14ac:dyDescent="0.25">
      <c r="G23" s="5">
        <v>2020</v>
      </c>
      <c r="H23" s="2">
        <v>-3.3098451514189775E-2</v>
      </c>
      <c r="I23" s="2">
        <v>1.0343160947317465E-2</v>
      </c>
    </row>
    <row r="24" spans="2:12" x14ac:dyDescent="0.25">
      <c r="G24" s="5">
        <v>2021</v>
      </c>
      <c r="H24" s="2">
        <v>0.11081377613613386</v>
      </c>
      <c r="I24" s="2">
        <v>3.4443168771526977E-2</v>
      </c>
    </row>
    <row r="25" spans="2:12" x14ac:dyDescent="0.25">
      <c r="G25" s="5">
        <v>2022</v>
      </c>
      <c r="H25" s="2">
        <v>2.3307904743038232E-2</v>
      </c>
      <c r="I25" s="2">
        <v>9.9889012208657091E-2</v>
      </c>
    </row>
    <row r="26" spans="2:12" x14ac:dyDescent="0.25">
      <c r="G26" s="5">
        <v>2023</v>
      </c>
      <c r="H26" s="2">
        <v>7.3162985707475592E-3</v>
      </c>
      <c r="I26" s="2">
        <v>0.1033467877564751</v>
      </c>
    </row>
    <row r="27" spans="2:12" x14ac:dyDescent="0.25">
      <c r="G27" s="5">
        <v>2024</v>
      </c>
      <c r="H27" s="2">
        <v>2.3560545451554393E-2</v>
      </c>
      <c r="I27" s="2">
        <v>5.6474354088865253E-2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E5BED-AD7F-40C6-AF9E-728FF4CC3313}">
  <sheetPr>
    <pageSetUpPr fitToPage="1"/>
  </sheetPr>
  <dimension ref="AJ8:KL40"/>
  <sheetViews>
    <sheetView showGridLines="0" showRowColHeaders="0" tabSelected="1" view="pageBreakPreview" zoomScale="10" zoomScaleNormal="30" zoomScaleSheetLayoutView="10" zoomScalePageLayoutView="10" workbookViewId="0">
      <selection activeCell="CC34" sqref="CC34"/>
    </sheetView>
  </sheetViews>
  <sheetFormatPr baseColWidth="10" defaultRowHeight="15" x14ac:dyDescent="0.25"/>
  <cols>
    <col min="1" max="1" width="5" style="8" customWidth="1"/>
    <col min="2" max="2" width="4" style="8" customWidth="1"/>
    <col min="3" max="34" width="11.42578125" style="8"/>
    <col min="35" max="35" width="11.42578125" style="8" customWidth="1"/>
    <col min="36" max="36" width="0.5703125" style="12" customWidth="1"/>
    <col min="37" max="37" width="11.42578125" style="8"/>
    <col min="38" max="38" width="1.7109375" style="8" customWidth="1"/>
    <col min="39" max="16384" width="11.42578125" style="8"/>
  </cols>
  <sheetData>
    <row r="8" ht="6" customHeight="1" x14ac:dyDescent="0.25"/>
    <row r="40" spans="37:298" s="12" customFormat="1" ht="3" customHeight="1" x14ac:dyDescent="0.25"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IW40" s="8"/>
      <c r="IX40" s="8"/>
      <c r="IY40" s="8"/>
      <c r="IZ40" s="8"/>
      <c r="JA40" s="8"/>
      <c r="JB40" s="8"/>
      <c r="JC40" s="8"/>
      <c r="JD40" s="8"/>
      <c r="JE40" s="8"/>
      <c r="JF40" s="8"/>
      <c r="JG40" s="8"/>
      <c r="JH40" s="8"/>
      <c r="JI40" s="8"/>
      <c r="JJ40" s="8"/>
      <c r="JK40" s="8"/>
      <c r="JL40" s="8"/>
      <c r="JM40" s="8"/>
      <c r="JN40" s="8"/>
      <c r="JO40" s="8"/>
      <c r="JP40" s="8"/>
      <c r="JQ40" s="8"/>
      <c r="JR40" s="8"/>
      <c r="JS40" s="8"/>
      <c r="JT40" s="8"/>
      <c r="JU40" s="8"/>
      <c r="JV40" s="8"/>
      <c r="JW40" s="8"/>
      <c r="JX40" s="8"/>
      <c r="JY40" s="8"/>
      <c r="JZ40" s="8"/>
      <c r="KA40" s="8"/>
      <c r="KB40" s="8"/>
      <c r="KC40" s="8"/>
      <c r="KD40" s="8"/>
      <c r="KE40" s="8"/>
      <c r="KF40" s="8"/>
      <c r="KG40" s="8"/>
      <c r="KH40" s="8"/>
      <c r="KI40" s="8"/>
      <c r="KJ40" s="8"/>
      <c r="KK40" s="8"/>
      <c r="KL40" s="8"/>
    </row>
  </sheetData>
  <pageMargins left="1" right="1" top="1" bottom="1" header="0.5" footer="0.5"/>
  <pageSetup scale="28" orientation="landscape" r:id="rId1"/>
  <colBreaks count="2" manualBreakCount="2">
    <brk id="38" max="1048575" man="1"/>
    <brk id="78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C1B69D-43AA-4201-AD49-79B17A6383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Inflacion</vt:lpstr>
      <vt:lpstr>Data_set_Completo</vt:lpstr>
      <vt:lpstr>Calcular </vt:lpstr>
      <vt:lpstr>DashBoard</vt:lpstr>
      <vt:lpstr>DashBoard!Área_de_impresión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diego barros sierra</dc:creator>
  <cp:lastModifiedBy>juan diego barros sierra</cp:lastModifiedBy>
  <cp:lastPrinted>2026-03-11T22:09:04Z</cp:lastPrinted>
  <dcterms:created xsi:type="dcterms:W3CDTF">2026-03-10T20:24:25Z</dcterms:created>
  <dcterms:modified xsi:type="dcterms:W3CDTF">2026-03-11T22:21:51Z</dcterms:modified>
</cp:coreProperties>
</file>